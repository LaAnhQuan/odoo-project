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T7" sheetId="1" r:id="rId1"/>
  </sheets>
  <externalReferences>
    <externalReference r:id="rId2"/>
  </externalReferences>
  <definedNames>
    <definedName name="_xlnm.Print_Titles" localSheetId="0">'T7'!$8:$9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<sst xmlns="http://schemas.openxmlformats.org/spreadsheetml/2006/main" count="32" uniqueCount="28">
  <si>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BẢNG CHẤM CÔNG - PHÉP NĂM</t>
  </si>
  <si>
    <t>Tháng</t>
  </si>
  <si>
    <t>năm</t>
  </si>
  <si>
    <t>Ngày công:</t>
  </si>
  <si>
    <t>STT</t>
  </si>
  <si>
    <t>MANS</t>
  </si>
  <si>
    <t>Họ tên</t>
  </si>
  <si>
    <t>Công</t>
  </si>
  <si>
    <t>Phép
'P</t>
  </si>
  <si>
    <t>Ko lương
'Ko</t>
  </si>
  <si>
    <t>"3 tại chổ" 
'3D_ Ngày thường</t>
  </si>
  <si>
    <t>"3 tại chổ" 
'3D_ Ngày nghỉ</t>
  </si>
  <si>
    <t>Online
'On</t>
  </si>
  <si>
    <t>F0 (NV)</t>
  </si>
  <si>
    <t>FO 
'F Ko NV</t>
  </si>
  <si>
    <t>F1 Online
'F1O</t>
  </si>
  <si>
    <t>F1 Ko online
'F1</t>
  </si>
  <si>
    <t>Thai sản/ Ốm</t>
  </si>
  <si>
    <t>CĐ - 
'Lễ tết, hiếu/ hỷ</t>
  </si>
  <si>
    <t>3DL -
'3D ngày Lễ, Tết</t>
  </si>
  <si>
    <t>OnL -
'Online ngày Lễ, Tết</t>
  </si>
  <si>
    <t>% hoàn thành cv</t>
  </si>
  <si>
    <t>P</t>
  </si>
  <si>
    <t>P/2</t>
  </si>
  <si>
    <t>Ko/2</t>
  </si>
  <si>
    <t>Lập bảng</t>
  </si>
  <si>
    <t>Trưởng đơn vị ký tên</t>
  </si>
  <si>
    <t>Phòng TC-HC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</si>
</sst>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"/>
    <numFmt numFmtId="179" formatCode="0.0%"/>
    <numFmt numFmtId="180" formatCode="dd"/>
    <numFmt numFmtId="181" formatCode="0.0"/>
  </numFmts>
  <fonts count="48">
    <font>
      <sz val="11"/>
      <color theme="1"/>
      <name val="Calibri"/>
      <charset val="134"/>
      <scheme val="minor"/>
    </font>
    <font>
      <b/>
      <sz val="8"/>
      <color rgb="FFC00000"/>
      <name val="Arial"/>
      <charset val="134"/>
    </font>
    <font>
      <b/>
      <sz val="8"/>
      <color rgb="FF002060"/>
      <name val="Arial"/>
      <charset val="134"/>
    </font>
    <font>
      <sz val="8"/>
      <color theme="1"/>
      <name val="Arial"/>
      <charset val="134"/>
    </font>
    <font>
      <i/>
      <sz val="8"/>
      <color theme="1"/>
      <name val="Arial"/>
      <charset val="134"/>
    </font>
    <font>
      <i/>
      <sz val="10"/>
      <color theme="1"/>
      <name val="Times New Roman"/>
      <charset val="163"/>
    </font>
    <font>
      <b/>
      <sz val="11"/>
      <color theme="1"/>
      <name val="Times New Roman"/>
      <charset val="163"/>
    </font>
    <font>
      <sz val="11"/>
      <color theme="1"/>
      <name val="Times New Roman"/>
      <charset val="163"/>
    </font>
    <font>
      <i/>
      <sz val="11"/>
      <color theme="1"/>
      <name val="Times New Roman"/>
      <charset val="163"/>
    </font>
    <font>
      <sz val="11"/>
      <color theme="1"/>
      <name val="Arial"/>
      <charset val="134"/>
    </font>
    <font>
      <sz val="11"/>
      <color rgb="FF002060"/>
      <name val="Arial"/>
      <charset val="134"/>
    </font>
    <font>
      <b/>
      <sz val="11"/>
      <color rgb="FFC00000"/>
      <name val="Arial"/>
      <charset val="134"/>
    </font>
    <font>
      <sz val="11"/>
      <color theme="0" tint="-0.499984740745262"/>
      <name val="Arial"/>
      <charset val="134"/>
    </font>
    <font>
      <b/>
      <sz val="16"/>
      <color rgb="FFC00000"/>
      <name val="Arial"/>
      <charset val="134"/>
    </font>
    <font>
      <b/>
      <sz val="8"/>
      <color theme="0"/>
      <name val="Arial"/>
      <charset val="134"/>
    </font>
    <font>
      <sz val="8"/>
      <color rgb="FFFF0000"/>
      <name val="Arial"/>
      <charset val="134"/>
    </font>
    <font>
      <sz val="8"/>
      <name val="Arial"/>
      <charset val="134"/>
    </font>
    <font>
      <b/>
      <sz val="11"/>
      <color theme="1"/>
      <name val="Arial"/>
      <charset val="134"/>
    </font>
    <font>
      <b/>
      <sz val="10"/>
      <color rgb="FFFF0000"/>
      <name val="Arial"/>
      <charset val="134"/>
    </font>
    <font>
      <sz val="10"/>
      <color theme="1"/>
      <name val="Arial"/>
      <charset val="134"/>
    </font>
    <font>
      <b/>
      <sz val="11"/>
      <color rgb="FF002060"/>
      <name val="Arial"/>
      <charset val="134"/>
    </font>
    <font>
      <b/>
      <sz val="10"/>
      <color rgb="FF92D050"/>
      <name val="Arial"/>
      <charset val="134"/>
    </font>
    <font>
      <sz val="8"/>
      <color indexed="9"/>
      <name val="Arial"/>
      <charset val="134"/>
    </font>
    <font>
      <sz val="8"/>
      <color rgb="FF002060"/>
      <name val="Arial"/>
      <charset val="134"/>
    </font>
    <font>
      <sz val="8"/>
      <color theme="0"/>
      <name val="Arial"/>
      <charset val="134"/>
    </font>
    <font>
      <b/>
      <sz val="8"/>
      <color theme="1"/>
      <name val="Arial"/>
      <charset val="163"/>
    </font>
    <font>
      <i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9" borderId="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0" borderId="5" applyNumberFormat="0" applyAlignment="0" applyProtection="0">
      <alignment vertical="center"/>
    </xf>
    <xf numFmtId="0" fontId="37" fillId="11" borderId="6" applyNumberFormat="0" applyAlignment="0" applyProtection="0">
      <alignment vertical="center"/>
    </xf>
    <xf numFmtId="0" fontId="38" fillId="11" borderId="5" applyNumberFormat="0" applyAlignment="0" applyProtection="0">
      <alignment vertical="center"/>
    </xf>
    <xf numFmtId="0" fontId="39" fillId="12" borderId="7" applyNumberFormat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7" fillId="0" borderId="0"/>
  </cellStyleXfs>
  <cellXfs count="81">
    <xf numFmtId="0" fontId="0" fillId="0" borderId="0" xfId="0"/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3" fillId="0" borderId="0" xfId="0" applyFont="1" applyFill="1" applyProtection="1">
      <protection hidden="1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hidden="1"/>
    </xf>
    <xf numFmtId="0" fontId="6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8" fillId="3" borderId="0" xfId="0" applyFont="1" applyFill="1" applyProtection="1">
      <protection locked="0"/>
    </xf>
    <xf numFmtId="0" fontId="7" fillId="0" borderId="0" xfId="0" applyFont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0" xfId="0" applyFont="1" applyProtection="1">
      <protection hidden="1"/>
    </xf>
    <xf numFmtId="178" fontId="9" fillId="0" borderId="0" xfId="0" applyNumberFormat="1" applyFont="1" applyProtection="1">
      <protection hidden="1"/>
    </xf>
    <xf numFmtId="179" fontId="9" fillId="0" borderId="0" xfId="0" applyNumberFormat="1" applyFont="1" applyProtection="1">
      <protection locked="0"/>
    </xf>
    <xf numFmtId="0" fontId="10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left"/>
      <protection hidden="1"/>
    </xf>
    <xf numFmtId="0" fontId="14" fillId="4" borderId="1" xfId="0" applyFont="1" applyFill="1" applyBorder="1" applyAlignment="1" applyProtection="1">
      <alignment horizontal="center" vertical="center"/>
      <protection hidden="1"/>
    </xf>
    <xf numFmtId="180" fontId="1" fillId="0" borderId="1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textRotation="90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3" fillId="0" borderId="0" xfId="0" applyFont="1" applyBorder="1" applyProtection="1">
      <protection hidden="1"/>
    </xf>
    <xf numFmtId="0" fontId="15" fillId="0" borderId="0" xfId="49" applyFont="1" applyBorder="1" applyAlignment="1" applyProtection="1">
      <alignment horizontal="center" vertical="center"/>
      <protection locked="0"/>
    </xf>
    <xf numFmtId="0" fontId="16" fillId="0" borderId="0" xfId="49" applyFont="1" applyBorder="1" applyAlignment="1" applyProtection="1">
      <alignment horizontal="center" vertical="center"/>
      <protection locked="0"/>
    </xf>
    <xf numFmtId="0" fontId="3" fillId="0" borderId="0" xfId="0" applyFont="1" applyFill="1" applyBorder="1" applyProtection="1">
      <protection locked="0"/>
    </xf>
    <xf numFmtId="0" fontId="3" fillId="0" borderId="0" xfId="0" applyFont="1" applyBorder="1" applyProtection="1">
      <protection locked="0"/>
    </xf>
    <xf numFmtId="0" fontId="4" fillId="0" borderId="0" xfId="0" applyFont="1" applyBorder="1" applyProtection="1">
      <protection locked="0"/>
    </xf>
    <xf numFmtId="0" fontId="17" fillId="0" borderId="0" xfId="0" applyFont="1" applyAlignment="1" applyProtection="1">
      <alignment horizontal="left"/>
      <protection hidden="1"/>
    </xf>
    <xf numFmtId="0" fontId="11" fillId="5" borderId="0" xfId="0" applyFont="1" applyFill="1" applyAlignment="1" applyProtection="1">
      <alignment horizontal="center"/>
      <protection locked="0"/>
    </xf>
    <xf numFmtId="0" fontId="11" fillId="5" borderId="0" xfId="0" applyFont="1" applyFill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178" fontId="18" fillId="0" borderId="0" xfId="0" applyNumberFormat="1" applyFont="1" applyProtection="1">
      <protection hidden="1"/>
    </xf>
    <xf numFmtId="178" fontId="19" fillId="0" borderId="0" xfId="0" applyNumberFormat="1" applyFont="1" applyProtection="1">
      <protection hidden="1"/>
    </xf>
    <xf numFmtId="181" fontId="20" fillId="6" borderId="0" xfId="0" applyNumberFormat="1" applyFont="1" applyFill="1" applyProtection="1">
      <protection hidden="1"/>
    </xf>
    <xf numFmtId="181" fontId="21" fillId="7" borderId="0" xfId="0" applyNumberFormat="1" applyFont="1" applyFill="1" applyProtection="1">
      <protection hidden="1"/>
    </xf>
    <xf numFmtId="178" fontId="22" fillId="4" borderId="1" xfId="0" applyNumberFormat="1" applyFont="1" applyFill="1" applyBorder="1" applyAlignment="1" applyProtection="1">
      <alignment horizontal="center" vertical="center" textRotation="90"/>
      <protection hidden="1"/>
    </xf>
    <xf numFmtId="178" fontId="22" fillId="4" borderId="1" xfId="0" applyNumberFormat="1" applyFont="1" applyFill="1" applyBorder="1" applyAlignment="1" applyProtection="1">
      <alignment horizontal="center" vertical="center" textRotation="90" wrapText="1"/>
      <protection hidden="1"/>
    </xf>
    <xf numFmtId="178" fontId="23" fillId="8" borderId="1" xfId="0" applyNumberFormat="1" applyFont="1" applyFill="1" applyBorder="1" applyAlignment="1" applyProtection="1">
      <alignment horizontal="center" vertical="center" textRotation="90" wrapText="1"/>
      <protection hidden="1"/>
    </xf>
    <xf numFmtId="178" fontId="14" fillId="4" borderId="1" xfId="0" applyNumberFormat="1" applyFont="1" applyFill="1" applyBorder="1" applyAlignment="1" applyProtection="1">
      <alignment vertical="center"/>
      <protection hidden="1"/>
    </xf>
    <xf numFmtId="178" fontId="23" fillId="0" borderId="0" xfId="0" applyNumberFormat="1" applyFont="1" applyFill="1" applyBorder="1" applyProtection="1">
      <protection hidden="1"/>
    </xf>
    <xf numFmtId="178" fontId="1" fillId="0" borderId="0" xfId="0" applyNumberFormat="1" applyFont="1" applyFill="1" applyBorder="1" applyProtection="1">
      <protection hidden="1"/>
    </xf>
    <xf numFmtId="178" fontId="23" fillId="8" borderId="1" xfId="0" applyNumberFormat="1" applyFont="1" applyFill="1" applyBorder="1" applyAlignment="1" applyProtection="1">
      <alignment horizontal="center" vertical="center" textRotation="90"/>
      <protection hidden="1"/>
    </xf>
    <xf numFmtId="178" fontId="24" fillId="4" borderId="1" xfId="0" applyNumberFormat="1" applyFont="1" applyFill="1" applyBorder="1" applyAlignment="1" applyProtection="1">
      <alignment horizontal="center" vertical="center" textRotation="90"/>
      <protection hidden="1"/>
    </xf>
    <xf numFmtId="178" fontId="24" fillId="4" borderId="1" xfId="0" applyNumberFormat="1" applyFont="1" applyFill="1" applyBorder="1" applyAlignment="1" applyProtection="1">
      <alignment horizontal="center" vertical="center" textRotation="90" wrapText="1"/>
      <protection hidden="1"/>
    </xf>
    <xf numFmtId="178" fontId="23" fillId="3" borderId="1" xfId="0" applyNumberFormat="1" applyFont="1" applyFill="1" applyBorder="1" applyAlignment="1" applyProtection="1">
      <alignment horizontal="center" vertical="center" textRotation="90" wrapText="1"/>
      <protection hidden="1"/>
    </xf>
    <xf numFmtId="178" fontId="23" fillId="5" borderId="0" xfId="0" applyNumberFormat="1" applyFont="1" applyFill="1" applyBorder="1" applyProtection="1">
      <protection hidden="1"/>
    </xf>
    <xf numFmtId="178" fontId="25" fillId="5" borderId="0" xfId="0" applyNumberFormat="1" applyFont="1" applyFill="1" applyAlignment="1" applyProtection="1">
      <alignment horizontal="center"/>
      <protection hidden="1"/>
    </xf>
    <xf numFmtId="178" fontId="2" fillId="3" borderId="1" xfId="0" applyNumberFormat="1" applyFont="1" applyFill="1" applyBorder="1" applyAlignment="1" applyProtection="1">
      <alignment vertical="center" textRotation="90"/>
      <protection hidden="1"/>
    </xf>
    <xf numFmtId="178" fontId="1" fillId="0" borderId="0" xfId="0" applyNumberFormat="1" applyFont="1" applyAlignment="1" applyProtection="1">
      <alignment horizontal="center" vertical="center" textRotation="90"/>
      <protection hidden="1"/>
    </xf>
    <xf numFmtId="179" fontId="3" fillId="0" borderId="0" xfId="3" applyNumberFormat="1" applyFont="1" applyBorder="1" applyProtection="1">
      <protection locked="0"/>
    </xf>
    <xf numFmtId="178" fontId="23" fillId="0" borderId="0" xfId="0" applyNumberFormat="1" applyFont="1" applyBorder="1" applyProtection="1">
      <protection locked="0"/>
    </xf>
    <xf numFmtId="178" fontId="23" fillId="0" borderId="0" xfId="0" applyNumberFormat="1" applyFont="1" applyProtection="1">
      <protection hidden="1"/>
    </xf>
    <xf numFmtId="178" fontId="3" fillId="0" borderId="0" xfId="0" applyNumberFormat="1" applyFont="1" applyBorder="1" applyProtection="1">
      <protection locked="0"/>
    </xf>
    <xf numFmtId="9" fontId="3" fillId="0" borderId="0" xfId="0" applyNumberFormat="1" applyFont="1" applyBorder="1" applyProtection="1">
      <protection locked="0"/>
    </xf>
    <xf numFmtId="178" fontId="3" fillId="0" borderId="0" xfId="0" applyNumberFormat="1" applyFont="1" applyProtection="1">
      <protection hidden="1"/>
    </xf>
    <xf numFmtId="178" fontId="3" fillId="0" borderId="0" xfId="0" applyNumberFormat="1" applyFont="1" applyFill="1" applyBorder="1" applyProtection="1">
      <protection locked="0"/>
    </xf>
    <xf numFmtId="178" fontId="3" fillId="0" borderId="0" xfId="0" applyNumberFormat="1" applyFont="1" applyFill="1" applyProtection="1">
      <protection hidden="1"/>
    </xf>
    <xf numFmtId="178" fontId="3" fillId="0" borderId="0" xfId="0" applyNumberFormat="1" applyFont="1" applyProtection="1">
      <protection locked="0"/>
    </xf>
    <xf numFmtId="178" fontId="4" fillId="0" borderId="0" xfId="0" applyNumberFormat="1" applyFont="1" applyBorder="1" applyProtection="1">
      <protection locked="0"/>
    </xf>
    <xf numFmtId="178" fontId="4" fillId="0" borderId="0" xfId="0" applyNumberFormat="1" applyFont="1" applyProtection="1">
      <protection locked="0"/>
    </xf>
    <xf numFmtId="180" fontId="9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hidden="1"/>
    </xf>
    <xf numFmtId="0" fontId="26" fillId="0" borderId="0" xfId="0" applyFont="1" applyProtection="1">
      <protection locked="0"/>
    </xf>
    <xf numFmtId="178" fontId="5" fillId="0" borderId="0" xfId="0" applyNumberFormat="1" applyFont="1" applyProtection="1">
      <protection hidden="1"/>
    </xf>
    <xf numFmtId="178" fontId="6" fillId="2" borderId="0" xfId="0" applyNumberFormat="1" applyFont="1" applyFill="1" applyProtection="1">
      <protection locked="0"/>
    </xf>
    <xf numFmtId="178" fontId="7" fillId="0" borderId="0" xfId="0" applyNumberFormat="1" applyFont="1" applyProtection="1">
      <protection locked="0"/>
    </xf>
    <xf numFmtId="178" fontId="8" fillId="3" borderId="0" xfId="0" applyNumberFormat="1" applyFont="1" applyFill="1" applyProtection="1">
      <protection locked="0"/>
    </xf>
    <xf numFmtId="178" fontId="7" fillId="0" borderId="0" xfId="0" applyNumberFormat="1" applyFont="1" applyProtection="1">
      <protection hidden="1"/>
    </xf>
    <xf numFmtId="179" fontId="5" fillId="0" borderId="0" xfId="0" applyNumberFormat="1" applyFont="1" applyProtection="1">
      <protection locked="0"/>
    </xf>
    <xf numFmtId="179" fontId="6" fillId="2" borderId="0" xfId="0" applyNumberFormat="1" applyFont="1" applyFill="1" applyProtection="1">
      <protection locked="0"/>
    </xf>
    <xf numFmtId="179" fontId="7" fillId="0" borderId="0" xfId="0" applyNumberFormat="1" applyFont="1" applyProtection="1">
      <protection locked="0"/>
    </xf>
    <xf numFmtId="179" fontId="8" fillId="3" borderId="0" xfId="0" applyNumberFormat="1" applyFont="1" applyFill="1" applyProtection="1"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2" xfId="49"/>
  </cellStyles>
  <dxfs count="8"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0" tint="-0.249946592608417"/>
        </patternFill>
      </fill>
    </dxf>
    <dxf>
      <fill>
        <patternFill patternType="solid">
          <bgColor theme="7" tint="0.399945066682943"/>
        </patternFill>
      </fill>
    </dxf>
    <dxf>
      <fill>
        <gradientFill degree="90">
          <stop position="0">
            <color theme="0" tint="-0.0509659108249153"/>
          </stop>
          <stop position="1">
            <color theme="0" tint="-0.250984221930601"/>
          </stop>
        </gradientFill>
      </fill>
    </dxf>
    <dxf>
      <fill>
        <gradientFill degree="90">
          <stop position="0">
            <color theme="0"/>
          </stop>
          <stop position="1">
            <color theme="0" tint="-0.498031556138798"/>
          </stop>
        </gradientFill>
      </fill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ont>
        <b val="0"/>
        <i val="1"/>
        <color rgb="FF0070C0"/>
      </font>
      <fill>
        <patternFill patternType="solid">
          <bgColor rgb="FF92D050"/>
        </patternFill>
      </fill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ctrlProps/ctrlProp3.xml><?xml version="1.0" encoding="utf-8"?>
<formControlPr xmlns="http://schemas.microsoft.com/office/spreadsheetml/2009/9/main" objectType="Button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PHEPNAM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17</xdr:col>
      <xdr:colOff>232932</xdr:colOff>
      <xdr:row>5</xdr:row>
      <xdr:rowOff>179887</xdr:rowOff>
    </xdr:from>
    <xdr:to>
      <xdr:col>27</xdr:col>
      <xdr:colOff>249289</xdr:colOff>
      <xdr:row>7</xdr:row>
      <xdr:rowOff>70212</xdr:rowOff>
    </xdr:to>
    <xdr:grpSp>
      <xdr:nvGrpSpPr>
        <xdr:cNvPr id="2" name="Group 1"/>
        <xdr:cNvGrpSpPr>
          <a:grpSpLocks noChangeAspect="1"/>
        </xdr:cNvGrpSpPr>
      </xdr:nvGrpSpPr>
      <xdr:grpSpPr>
        <a:xfrm>
          <a:off x="6554470" y="1147445"/>
          <a:ext cx="3134360" cy="294005"/>
          <a:chOff x="8201024" y="1057275"/>
          <a:chExt cx="3543346" cy="295275"/>
        </a:xfrm>
        <a:solidFill>
          <a:schemeClr val="bg2">
            <a:lumMod val="25000"/>
          </a:schemeClr>
        </a:solidFill>
      </xdr:grpSpPr>
      <mc:AlternateContent xmlns:mc="http://schemas.openxmlformats.org/markup-compatibility/2006">
        <mc:Choice xmlns:a14="http://schemas.microsoft.com/office/drawing/2010/main" Requires="a14">
          <xdr:sp macro="[1]!xoadulieu">
            <xdr:nvSpPr>
              <xdr:cNvPr id="1025" name="Button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8201024" y="1076325"/>
                <a:ext cx="1257304" cy="276225"/>
              </a:xfrm>
              <a:prstGeom prst="rect">
                <a:avLst/>
              </a:prstGeom>
            </xdr:spPr>
            <xdr:txBody>
              <a:bodyPr vertOverflow="clip" wrap="square" lIns="36576" tIns="27432" rIns="36576" bIns="27432" anchor="ctr" upright="1"/>
              <a:lstStyle/>
              <a:p>
                <a:pPr algn="ctr" rtl="0">
                  <a:defRPr sz="1000"/>
                </a:pPr>
                <a:r>
                  <a:rPr lang="en-US" sz="900" b="1" i="0" u="none" strike="noStrike" baseline="0">
                    <a:solidFill>
                      <a:srgbClr val="000000"/>
                    </a:solidFill>
                    <a:latin typeface="Arial" panose="020B0604020202020204"/>
                    <a:cs typeface="Arial" panose="020B0604020202020204"/>
                  </a:rPr>
                  <a:t>XOÁ CHẤM CÔNG</a:t>
                </a:r>
                <a:endParaRPr lang="en-US" sz="900" b="1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[1]!HideRows_chamcong">
            <xdr:nvSpPr>
              <xdr:cNvPr id="1026" name="Button 2" hidden="1">
                <a:extLst>
                  <a:ext uri="{63B3BB69-23CF-44E3-9099-C40C66FF867C}">
                    <a14:compatExt spid="_x0000_s1026"/>
                  </a:ext>
                </a:extLst>
              </xdr:cNvPr>
              <xdr:cNvSpPr/>
            </xdr:nvSpPr>
            <xdr:spPr>
              <a:xfrm>
                <a:off x="9525000" y="1057275"/>
                <a:ext cx="1085850" cy="295275"/>
              </a:xfrm>
              <a:prstGeom prst="rect">
                <a:avLst/>
              </a:prstGeom>
            </xdr:spPr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en-US" sz="1000" b="1" i="0" u="none" strike="noStrike" baseline="0">
                    <a:solidFill>
                      <a:srgbClr val="800000"/>
                    </a:solidFill>
                    <a:latin typeface="Calibri" panose="020F0502020204030204"/>
                    <a:cs typeface="Calibri" panose="020F0502020204030204"/>
                  </a:rPr>
                  <a:t>Ẩn dòng trống</a:t>
                </a:r>
                <a:endParaRPr lang="en-US" sz="1000" b="1" i="0" u="none" strike="noStrike" baseline="0">
                  <a:solidFill>
                    <a:srgbClr val="800000"/>
                  </a:solidFill>
                  <a:latin typeface="Calibri" panose="020F0502020204030204"/>
                  <a:cs typeface="Calibri" panose="020F0502020204030204"/>
                </a:endParaRP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[1]!Unhiderows_chamcong">
            <xdr:nvSpPr>
              <xdr:cNvPr id="1027" name="Button 3" hidden="1">
                <a:extLst>
                  <a:ext uri="{63B3BB69-23CF-44E3-9099-C40C66FF867C}">
                    <a14:compatExt spid="_x0000_s1027"/>
                  </a:ext>
                </a:extLst>
              </xdr:cNvPr>
              <xdr:cNvSpPr/>
            </xdr:nvSpPr>
            <xdr:spPr>
              <a:xfrm>
                <a:off x="10658516" y="1057275"/>
                <a:ext cx="1085854" cy="295275"/>
              </a:xfrm>
              <a:prstGeom prst="rect">
                <a:avLst/>
              </a:prstGeom>
            </xdr:spPr>
            <xdr:txBody>
              <a:bodyPr vertOverflow="clip" wrap="square" lIns="36576" tIns="32004" rIns="36576" bIns="32004" anchor="ctr" upright="1"/>
              <a:lstStyle/>
              <a:p>
                <a:pPr algn="ctr" rtl="0">
                  <a:defRPr sz="1000"/>
                </a:pPr>
                <a:r>
                  <a:rPr lang="en-US" sz="1000" b="1" i="0" u="none" strike="noStrike" baseline="0">
                    <a:solidFill>
                      <a:srgbClr val="800000"/>
                    </a:solidFill>
                    <a:latin typeface="Calibri" panose="020F0502020204030204"/>
                    <a:cs typeface="Calibri" panose="020F0502020204030204"/>
                  </a:rPr>
                  <a:t>Hiện dòng ẩn</a:t>
                </a:r>
                <a:endParaRPr lang="en-US" sz="1000" b="1" i="0" u="none" strike="noStrike" baseline="0">
                  <a:solidFill>
                    <a:srgbClr val="800000"/>
                  </a:solidFill>
                  <a:latin typeface="Calibri" panose="020F0502020204030204"/>
                  <a:cs typeface="Calibri" panose="020F0502020204030204"/>
                </a:endParaRPr>
              </a:p>
            </xdr:txBody>
          </xdr:sp>
        </mc:Choice>
        <mc:Fallback/>
      </mc:AlternateContent>
    </xdr:grpSp>
    <xdr:clientData fPrintsWithSheet="0"/>
  </xdr:twoCellAnchor>
  <xdr:twoCellAnchor editAs="oneCell">
    <xdr:from>
      <xdr:col>0</xdr:col>
      <xdr:colOff>19050</xdr:colOff>
      <xdr:row>0</xdr:row>
      <xdr:rowOff>9525</xdr:rowOff>
    </xdr:from>
    <xdr:to>
      <xdr:col>2</xdr:col>
      <xdr:colOff>98905</xdr:colOff>
      <xdr:row>2</xdr:row>
      <xdr:rowOff>2539</xdr:rowOff>
    </xdr:to>
    <xdr:pic>
      <xdr:nvPicPr>
        <xdr:cNvPr id="6" name="Picture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050" y="9525"/>
          <a:ext cx="372110" cy="342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EP2025-A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PHEPNAM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</sheetNames>
    <definedNames>
      <definedName name="HideRows_chamcong"/>
      <definedName name="Unhiderows_chamcong"/>
      <definedName name="xoadulieu"/>
    </definedNames>
    <sheetDataSet>
      <sheetData sheetId="0">
        <row r="5">
          <cell r="C5" t="str">
            <v>CÔNG TY TRUYỀN HÌNH CÁP SAIGONTOURIST</v>
          </cell>
        </row>
        <row r="5">
          <cell r="I5" t="str">
            <v>Phòng ban, Trung tâm</v>
          </cell>
        </row>
        <row r="6">
          <cell r="C6" t="str">
            <v>BAN TỔNG GIÁM ĐỐC</v>
          </cell>
        </row>
        <row r="6">
          <cell r="F6" t="str">
            <v>P</v>
          </cell>
        </row>
        <row r="7">
          <cell r="F7" t="str">
            <v>Ko</v>
          </cell>
        </row>
        <row r="8">
          <cell r="C8" t="str">
            <v>Phòng ban, Trung tâm</v>
          </cell>
        </row>
        <row r="8">
          <cell r="F8" t="str">
            <v>3D</v>
          </cell>
        </row>
        <row r="9">
          <cell r="C9">
            <v>2025</v>
          </cell>
        </row>
        <row r="9">
          <cell r="F9" t="str">
            <v>On</v>
          </cell>
        </row>
        <row r="10">
          <cell r="F10" t="str">
            <v>F0</v>
          </cell>
        </row>
        <row r="11">
          <cell r="F11" t="str">
            <v>FO</v>
          </cell>
        </row>
        <row r="12">
          <cell r="F12" t="str">
            <v>F1O</v>
          </cell>
        </row>
        <row r="13">
          <cell r="F13" t="str">
            <v>F1</v>
          </cell>
        </row>
        <row r="14">
          <cell r="F14" t="str">
            <v>TS</v>
          </cell>
        </row>
        <row r="15">
          <cell r="F15" t="str">
            <v>P/2</v>
          </cell>
        </row>
        <row r="16">
          <cell r="F16" t="str">
            <v>Ko/2</v>
          </cell>
        </row>
        <row r="17">
          <cell r="F17" t="str">
            <v>3D/2</v>
          </cell>
        </row>
        <row r="18">
          <cell r="F18" t="str">
            <v>On/2</v>
          </cell>
        </row>
        <row r="19">
          <cell r="F19" t="str">
            <v>F0/2</v>
          </cell>
        </row>
        <row r="20">
          <cell r="F20" t="str">
            <v>FO/2</v>
          </cell>
        </row>
        <row r="21">
          <cell r="F21" t="str">
            <v>F1O/2</v>
          </cell>
        </row>
        <row r="22">
          <cell r="F22" t="str">
            <v>F1/2</v>
          </cell>
        </row>
        <row r="23">
          <cell r="F23" t="str">
            <v>TS/2</v>
          </cell>
        </row>
        <row r="24">
          <cell r="F24" t="str">
            <v>CĐ</v>
          </cell>
        </row>
        <row r="25">
          <cell r="F25" t="str">
            <v>CĐ/2</v>
          </cell>
        </row>
        <row r="26">
          <cell r="F26" t="str">
            <v>3D2</v>
          </cell>
        </row>
        <row r="27">
          <cell r="F27" t="str">
            <v>3D3</v>
          </cell>
        </row>
      </sheetData>
      <sheetData sheetId="1">
        <row r="9">
          <cell r="B9" t="str">
            <v>BTGĐ</v>
          </cell>
        </row>
        <row r="10">
          <cell r="A10">
            <v>1</v>
          </cell>
        </row>
        <row r="10">
          <cell r="C10" t="str">
            <v>BTGĐTRƯƠNG CHÍ A</v>
          </cell>
        </row>
        <row r="10">
          <cell r="E10" t="str">
            <v>TRƯƠNG CHÍ A</v>
          </cell>
        </row>
        <row r="10">
          <cell r="Y10">
            <v>1</v>
          </cell>
        </row>
        <row r="12">
          <cell r="A12">
            <v>2</v>
          </cell>
        </row>
        <row r="12">
          <cell r="C12" t="str">
            <v>BTGĐLƯƠNG QUỐC B</v>
          </cell>
        </row>
        <row r="12">
          <cell r="E12" t="str">
            <v>LƯƠNG QUỐC B</v>
          </cell>
        </row>
        <row r="12">
          <cell r="Y12">
            <v>1</v>
          </cell>
        </row>
        <row r="13">
          <cell r="A13">
            <v>3</v>
          </cell>
        </row>
        <row r="13">
          <cell r="C13" t="str">
            <v>BTGĐVÕ THỊ TỐ C</v>
          </cell>
        </row>
        <row r="13">
          <cell r="E13" t="str">
            <v>VÕ THỊ TỐ C</v>
          </cell>
        </row>
        <row r="13">
          <cell r="Y13">
            <v>1</v>
          </cell>
        </row>
        <row r="14">
          <cell r="A14">
            <v>4</v>
          </cell>
        </row>
        <row r="14">
          <cell r="C14" t="str">
            <v>BTGĐTRỊNH HÙNG H</v>
          </cell>
        </row>
        <row r="14">
          <cell r="E14" t="str">
            <v>TRỊNH HÙNG H</v>
          </cell>
        </row>
        <row r="14">
          <cell r="Y14">
            <v>1</v>
          </cell>
        </row>
        <row r="15">
          <cell r="A15">
            <v>5</v>
          </cell>
        </row>
        <row r="15">
          <cell r="C15" t="str">
            <v>BTGĐPHẠM K</v>
          </cell>
        </row>
        <row r="15">
          <cell r="E15" t="str">
            <v>PHẠM K</v>
          </cell>
        </row>
        <row r="15">
          <cell r="Y15">
            <v>1</v>
          </cell>
        </row>
        <row r="16">
          <cell r="A16">
            <v>6</v>
          </cell>
        </row>
        <row r="16">
          <cell r="C16" t="str">
            <v>BTGĐNGUYỄN THỊ L</v>
          </cell>
        </row>
        <row r="16">
          <cell r="E16" t="str">
            <v>NGUYỄN THỊ L</v>
          </cell>
        </row>
        <row r="16">
          <cell r="Y16">
            <v>1</v>
          </cell>
        </row>
        <row r="17">
          <cell r="A17">
            <v>7</v>
          </cell>
        </row>
        <row r="17">
          <cell r="C17" t="str">
            <v>BTGĐDƯƠNG MINH F</v>
          </cell>
        </row>
        <row r="17">
          <cell r="E17" t="str">
            <v>DƯƠNG MINH F</v>
          </cell>
        </row>
        <row r="17">
          <cell r="Y17">
            <v>1</v>
          </cell>
        </row>
        <row r="18">
          <cell r="A18">
            <v>8</v>
          </cell>
        </row>
        <row r="18">
          <cell r="C18" t="str">
            <v>BTGĐTRẦN THỊ MINH M</v>
          </cell>
        </row>
        <row r="18">
          <cell r="E18" t="str">
            <v>TRẦN THỊ MINH M</v>
          </cell>
        </row>
        <row r="18">
          <cell r="Y18">
            <v>1</v>
          </cell>
        </row>
        <row r="19">
          <cell r="A19" t="str">
            <v/>
          </cell>
        </row>
        <row r="19">
          <cell r="C19" t="str">
            <v/>
          </cell>
        </row>
        <row r="20">
          <cell r="A20" t="str">
            <v/>
          </cell>
        </row>
        <row r="20">
          <cell r="C20" t="str">
            <v/>
          </cell>
        </row>
        <row r="21">
          <cell r="A21" t="str">
            <v/>
          </cell>
        </row>
        <row r="21">
          <cell r="C21" t="str">
            <v/>
          </cell>
        </row>
        <row r="22">
          <cell r="A22" t="str">
            <v/>
          </cell>
        </row>
        <row r="22">
          <cell r="C22" t="str">
            <v/>
          </cell>
        </row>
        <row r="23">
          <cell r="A23" t="str">
            <v/>
          </cell>
        </row>
        <row r="23">
          <cell r="C23" t="str">
            <v/>
          </cell>
        </row>
        <row r="24">
          <cell r="A24" t="str">
            <v/>
          </cell>
        </row>
        <row r="24">
          <cell r="C24" t="str">
            <v/>
          </cell>
        </row>
        <row r="25">
          <cell r="A25" t="str">
            <v/>
          </cell>
        </row>
        <row r="25">
          <cell r="C25" t="str">
            <v/>
          </cell>
        </row>
        <row r="26">
          <cell r="A26" t="str">
            <v/>
          </cell>
        </row>
        <row r="26">
          <cell r="C26" t="str">
            <v/>
          </cell>
        </row>
        <row r="27">
          <cell r="A27" t="str">
            <v/>
          </cell>
        </row>
        <row r="27">
          <cell r="C27" t="str">
            <v/>
          </cell>
        </row>
        <row r="28">
          <cell r="A28" t="str">
            <v/>
          </cell>
        </row>
        <row r="28">
          <cell r="C28" t="str">
            <v/>
          </cell>
        </row>
        <row r="29">
          <cell r="A29" t="str">
            <v/>
          </cell>
        </row>
        <row r="29">
          <cell r="C29" t="str">
            <v/>
          </cell>
        </row>
        <row r="30">
          <cell r="A30" t="str">
            <v/>
          </cell>
        </row>
        <row r="30">
          <cell r="C30" t="str">
            <v/>
          </cell>
        </row>
        <row r="31">
          <cell r="A31" t="str">
            <v/>
          </cell>
        </row>
        <row r="31">
          <cell r="C31" t="str">
            <v/>
          </cell>
        </row>
        <row r="32">
          <cell r="A32" t="str">
            <v/>
          </cell>
        </row>
        <row r="32">
          <cell r="C32" t="str">
            <v/>
          </cell>
        </row>
        <row r="33">
          <cell r="A33" t="str">
            <v/>
          </cell>
        </row>
        <row r="33">
          <cell r="C33" t="str">
            <v/>
          </cell>
        </row>
        <row r="34">
          <cell r="A34" t="str">
            <v/>
          </cell>
        </row>
        <row r="34">
          <cell r="C34" t="str">
            <v/>
          </cell>
        </row>
        <row r="35">
          <cell r="A35" t="str">
            <v/>
          </cell>
        </row>
        <row r="35">
          <cell r="C35" t="str">
            <v/>
          </cell>
        </row>
        <row r="36">
          <cell r="A36" t="str">
            <v/>
          </cell>
        </row>
        <row r="36">
          <cell r="C36" t="str">
            <v/>
          </cell>
        </row>
        <row r="37">
          <cell r="A37" t="str">
            <v/>
          </cell>
        </row>
        <row r="37">
          <cell r="C37" t="str">
            <v/>
          </cell>
        </row>
        <row r="38">
          <cell r="A38" t="str">
            <v/>
          </cell>
        </row>
        <row r="38">
          <cell r="C38" t="str">
            <v/>
          </cell>
        </row>
        <row r="39">
          <cell r="A39" t="str">
            <v/>
          </cell>
        </row>
        <row r="39">
          <cell r="C39" t="str">
            <v/>
          </cell>
        </row>
        <row r="40">
          <cell r="A40" t="str">
            <v/>
          </cell>
        </row>
        <row r="40">
          <cell r="C40" t="str">
            <v/>
          </cell>
        </row>
        <row r="41">
          <cell r="A41" t="str">
            <v/>
          </cell>
        </row>
        <row r="41">
          <cell r="C41" t="str">
            <v/>
          </cell>
        </row>
        <row r="42">
          <cell r="A42" t="str">
            <v/>
          </cell>
        </row>
        <row r="42">
          <cell r="C42" t="str">
            <v/>
          </cell>
        </row>
        <row r="43">
          <cell r="A43" t="str">
            <v/>
          </cell>
        </row>
        <row r="43">
          <cell r="C43" t="str">
            <v/>
          </cell>
        </row>
        <row r="44">
          <cell r="A44" t="str">
            <v/>
          </cell>
        </row>
        <row r="44">
          <cell r="C44" t="str">
            <v/>
          </cell>
        </row>
        <row r="45">
          <cell r="A45" t="str">
            <v/>
          </cell>
        </row>
        <row r="45">
          <cell r="C45" t="str">
            <v/>
          </cell>
        </row>
        <row r="46">
          <cell r="A46" t="str">
            <v/>
          </cell>
        </row>
        <row r="46">
          <cell r="C46" t="str">
            <v/>
          </cell>
        </row>
        <row r="47">
          <cell r="A47" t="str">
            <v/>
          </cell>
        </row>
        <row r="47">
          <cell r="C47" t="str">
            <v/>
          </cell>
        </row>
        <row r="48">
          <cell r="A48" t="str">
            <v/>
          </cell>
        </row>
        <row r="48">
          <cell r="C48" t="str">
            <v/>
          </cell>
        </row>
        <row r="49">
          <cell r="A49" t="str">
            <v/>
          </cell>
        </row>
        <row r="49">
          <cell r="C49" t="str">
            <v/>
          </cell>
        </row>
        <row r="50">
          <cell r="A50" t="str">
            <v/>
          </cell>
        </row>
        <row r="50">
          <cell r="C50" t="str">
            <v/>
          </cell>
        </row>
        <row r="51">
          <cell r="A51" t="str">
            <v/>
          </cell>
        </row>
        <row r="51">
          <cell r="C51" t="str">
            <v/>
          </cell>
        </row>
        <row r="52">
          <cell r="A52" t="str">
            <v/>
          </cell>
        </row>
        <row r="52">
          <cell r="C52" t="str">
            <v/>
          </cell>
        </row>
        <row r="53">
          <cell r="A53" t="str">
            <v/>
          </cell>
        </row>
        <row r="53">
          <cell r="C53" t="str">
            <v/>
          </cell>
        </row>
        <row r="54">
          <cell r="A54" t="str">
            <v/>
          </cell>
        </row>
        <row r="54">
          <cell r="C54" t="str">
            <v/>
          </cell>
        </row>
        <row r="55">
          <cell r="A55" t="str">
            <v/>
          </cell>
        </row>
        <row r="55">
          <cell r="C55" t="str">
            <v/>
          </cell>
        </row>
        <row r="56">
          <cell r="A56" t="str">
            <v/>
          </cell>
        </row>
        <row r="56">
          <cell r="C56" t="str">
            <v/>
          </cell>
        </row>
        <row r="57">
          <cell r="A57" t="str">
            <v/>
          </cell>
        </row>
        <row r="57">
          <cell r="C57" t="str">
            <v/>
          </cell>
        </row>
        <row r="58">
          <cell r="A58" t="str">
            <v/>
          </cell>
        </row>
        <row r="58">
          <cell r="C58" t="str">
            <v/>
          </cell>
        </row>
        <row r="59">
          <cell r="A59" t="str">
            <v/>
          </cell>
        </row>
        <row r="59">
          <cell r="C59" t="str">
            <v/>
          </cell>
        </row>
        <row r="60">
          <cell r="A60" t="str">
            <v/>
          </cell>
        </row>
        <row r="60">
          <cell r="C60" t="str">
            <v/>
          </cell>
        </row>
        <row r="61">
          <cell r="A61" t="str">
            <v/>
          </cell>
        </row>
        <row r="61">
          <cell r="C61" t="str">
            <v/>
          </cell>
        </row>
        <row r="62">
          <cell r="A62" t="str">
            <v/>
          </cell>
        </row>
        <row r="62">
          <cell r="C62" t="str">
            <v/>
          </cell>
        </row>
        <row r="63">
          <cell r="A63" t="str">
            <v/>
          </cell>
        </row>
        <row r="63">
          <cell r="C63" t="str">
            <v/>
          </cell>
        </row>
        <row r="64">
          <cell r="A64" t="str">
            <v/>
          </cell>
        </row>
        <row r="64">
          <cell r="C64" t="str">
            <v/>
          </cell>
        </row>
        <row r="65">
          <cell r="A65" t="str">
            <v/>
          </cell>
        </row>
        <row r="65">
          <cell r="C65" t="str">
            <v/>
          </cell>
        </row>
        <row r="66">
          <cell r="A66" t="str">
            <v/>
          </cell>
        </row>
        <row r="66">
          <cell r="C66" t="str">
            <v/>
          </cell>
        </row>
        <row r="67">
          <cell r="A67" t="str">
            <v/>
          </cell>
        </row>
        <row r="67">
          <cell r="C67" t="str">
            <v/>
          </cell>
        </row>
        <row r="68">
          <cell r="A68" t="str">
            <v/>
          </cell>
        </row>
        <row r="68">
          <cell r="C68" t="str">
            <v/>
          </cell>
        </row>
        <row r="69">
          <cell r="A69" t="str">
            <v/>
          </cell>
        </row>
        <row r="69">
          <cell r="C69" t="str">
            <v/>
          </cell>
        </row>
        <row r="70">
          <cell r="A70" t="str">
            <v/>
          </cell>
        </row>
        <row r="70">
          <cell r="C70" t="str">
            <v/>
          </cell>
        </row>
        <row r="71">
          <cell r="A71" t="str">
            <v/>
          </cell>
        </row>
        <row r="71">
          <cell r="C71" t="str">
            <v/>
          </cell>
        </row>
        <row r="72">
          <cell r="A72" t="str">
            <v/>
          </cell>
        </row>
        <row r="72">
          <cell r="C72" t="str">
            <v/>
          </cell>
        </row>
        <row r="73">
          <cell r="A73" t="str">
            <v/>
          </cell>
        </row>
        <row r="73">
          <cell r="C73" t="str">
            <v/>
          </cell>
        </row>
        <row r="74">
          <cell r="A74" t="str">
            <v/>
          </cell>
        </row>
        <row r="74">
          <cell r="C74" t="str">
            <v/>
          </cell>
        </row>
        <row r="75">
          <cell r="A75" t="str">
            <v/>
          </cell>
        </row>
        <row r="75">
          <cell r="C75" t="str">
            <v/>
          </cell>
        </row>
        <row r="76">
          <cell r="A76" t="str">
            <v/>
          </cell>
        </row>
        <row r="76">
          <cell r="C76" t="str">
            <v/>
          </cell>
        </row>
        <row r="77">
          <cell r="A77" t="str">
            <v/>
          </cell>
        </row>
        <row r="77">
          <cell r="C77" t="str">
            <v/>
          </cell>
        </row>
        <row r="78">
          <cell r="A78" t="str">
            <v/>
          </cell>
        </row>
        <row r="78">
          <cell r="C78" t="str">
            <v/>
          </cell>
        </row>
        <row r="79">
          <cell r="A79" t="str">
            <v/>
          </cell>
        </row>
        <row r="79">
          <cell r="C79" t="str">
            <v/>
          </cell>
        </row>
        <row r="80">
          <cell r="A80" t="str">
            <v/>
          </cell>
        </row>
        <row r="80">
          <cell r="C80" t="str">
            <v/>
          </cell>
        </row>
        <row r="81">
          <cell r="A81" t="str">
            <v/>
          </cell>
        </row>
        <row r="81">
          <cell r="C81" t="str">
            <v/>
          </cell>
        </row>
        <row r="82">
          <cell r="A82" t="str">
            <v/>
          </cell>
        </row>
        <row r="82">
          <cell r="C82" t="str">
            <v/>
          </cell>
        </row>
        <row r="83">
          <cell r="A83" t="str">
            <v/>
          </cell>
        </row>
        <row r="83">
          <cell r="C83" t="str">
            <v/>
          </cell>
        </row>
        <row r="84">
          <cell r="A84" t="str">
            <v/>
          </cell>
        </row>
        <row r="84">
          <cell r="C84" t="str">
            <v/>
          </cell>
        </row>
        <row r="85">
          <cell r="A85" t="str">
            <v/>
          </cell>
        </row>
        <row r="85">
          <cell r="C85" t="str">
            <v/>
          </cell>
        </row>
        <row r="86">
          <cell r="A86" t="str">
            <v/>
          </cell>
        </row>
        <row r="86">
          <cell r="C86" t="str">
            <v/>
          </cell>
        </row>
        <row r="87">
          <cell r="A87" t="str">
            <v/>
          </cell>
        </row>
        <row r="87">
          <cell r="C87" t="str">
            <v/>
          </cell>
        </row>
        <row r="88">
          <cell r="A88" t="str">
            <v/>
          </cell>
        </row>
        <row r="88">
          <cell r="C88" t="str">
            <v/>
          </cell>
        </row>
        <row r="89">
          <cell r="A89" t="str">
            <v/>
          </cell>
        </row>
        <row r="89">
          <cell r="C89" t="str">
            <v/>
          </cell>
        </row>
        <row r="90">
          <cell r="A90" t="str">
            <v/>
          </cell>
        </row>
        <row r="90">
          <cell r="C90" t="str">
            <v/>
          </cell>
        </row>
        <row r="91">
          <cell r="A91" t="str">
            <v/>
          </cell>
        </row>
        <row r="91">
          <cell r="C91" t="str">
            <v/>
          </cell>
        </row>
        <row r="92">
          <cell r="A92" t="str">
            <v/>
          </cell>
        </row>
        <row r="92">
          <cell r="C92" t="str">
            <v/>
          </cell>
        </row>
        <row r="93">
          <cell r="A93" t="str">
            <v/>
          </cell>
        </row>
        <row r="93">
          <cell r="C93" t="str">
            <v/>
          </cell>
        </row>
        <row r="94">
          <cell r="A94" t="str">
            <v/>
          </cell>
        </row>
        <row r="94">
          <cell r="C94" t="str">
            <v/>
          </cell>
        </row>
        <row r="95">
          <cell r="A95" t="str">
            <v/>
          </cell>
        </row>
        <row r="95">
          <cell r="C95" t="str">
            <v/>
          </cell>
        </row>
        <row r="96">
          <cell r="A96" t="str">
            <v/>
          </cell>
        </row>
        <row r="96">
          <cell r="C96" t="str">
            <v/>
          </cell>
        </row>
        <row r="97">
          <cell r="A97" t="str">
            <v/>
          </cell>
        </row>
        <row r="97">
          <cell r="C97" t="str">
            <v/>
          </cell>
        </row>
        <row r="98">
          <cell r="A98" t="str">
            <v/>
          </cell>
        </row>
        <row r="98">
          <cell r="C98" t="str">
            <v/>
          </cell>
        </row>
        <row r="99">
          <cell r="A99" t="str">
            <v/>
          </cell>
        </row>
        <row r="99">
          <cell r="C99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>
    <tabColor theme="9" tint="0.399975585192419"/>
  </sheetPr>
  <dimension ref="A1:BP119"/>
  <sheetViews>
    <sheetView showGridLines="0" showZeros="0" tabSelected="1" workbookViewId="0">
      <pane xSplit="3" ySplit="9" topLeftCell="D10" activePane="bottomRight" state="frozen"/>
      <selection/>
      <selection pane="topRight"/>
      <selection pane="bottomLeft"/>
      <selection pane="bottomRight" activeCell="C13" sqref="C13:C17"/>
    </sheetView>
  </sheetViews>
  <sheetFormatPr defaultColWidth="0" defaultRowHeight="13.8" customHeight="1" zeroHeight="1"/>
  <cols>
    <col min="1" max="1" width="4.26851851851852" style="12" customWidth="1"/>
    <col min="2" max="2" width="8.72222222222222" style="13" hidden="1" customWidth="1"/>
    <col min="3" max="3" width="24.2685185185185" style="13" customWidth="1"/>
    <col min="4" max="34" width="4.5462962962963" style="13" customWidth="1"/>
    <col min="35" max="37" width="4.72222222222222" style="14" customWidth="1"/>
    <col min="38" max="44" width="4.72222222222222" style="14" hidden="1" customWidth="1"/>
    <col min="45" max="46" width="4.72222222222222" style="14" customWidth="1"/>
    <col min="47" max="48" width="5.17592592592593" style="14" hidden="1" customWidth="1"/>
    <col min="49" max="49" width="7.26851851851852" style="15" customWidth="1"/>
    <col min="50" max="50" width="15.5462962962963" style="14" customWidth="1"/>
    <col min="51" max="52" width="4.72222222222222" style="14" customWidth="1"/>
    <col min="53" max="66" width="4.72222222222222" style="14" hidden="1" customWidth="1"/>
    <col min="67" max="77" width="3.72222222222222" style="13" hidden="1" customWidth="1"/>
    <col min="78" max="16384" width="9.17592592592593" style="13" hidden="1"/>
  </cols>
  <sheetData>
    <row r="1" spans="3:49">
      <c r="C1" s="16" t="str">
        <f>[1]DATA!$C$5</f>
        <v>CÔNG TY TRUYỀN HÌNH CÁP SAIGONTOURIST</v>
      </c>
      <c r="D1" s="16"/>
      <c r="E1" s="16"/>
      <c r="F1" s="16"/>
      <c r="G1" s="16"/>
      <c r="H1" s="16"/>
      <c r="I1" s="16"/>
      <c r="J1" s="16"/>
      <c r="AW1" s="14"/>
    </row>
    <row r="2" spans="3:49">
      <c r="C2" s="17" t="str">
        <f>[1]DATA!$C$6</f>
        <v>BAN TỔNG GIÁM ĐỐC</v>
      </c>
      <c r="D2" s="17"/>
      <c r="E2" s="17"/>
      <c r="F2" s="17"/>
      <c r="G2" s="17"/>
      <c r="H2" s="17"/>
      <c r="I2" s="17"/>
      <c r="J2" s="17"/>
      <c r="AW2" s="14"/>
    </row>
    <row r="3" spans="3:49">
      <c r="C3" s="18" t="str">
        <f>[1]DATA!$C$8</f>
        <v>Phòng ban, Trung tâm</v>
      </c>
      <c r="D3" s="18"/>
      <c r="E3" s="18"/>
      <c r="F3" s="18"/>
      <c r="G3" s="18"/>
      <c r="H3" s="18"/>
      <c r="I3" s="18"/>
      <c r="J3" s="18"/>
      <c r="AW3" s="14"/>
    </row>
    <row r="4" spans="49:49">
      <c r="AW4" s="14"/>
    </row>
    <row r="5" ht="21" spans="1:66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34"/>
      <c r="AJ5" s="34"/>
      <c r="AK5" s="34"/>
      <c r="AL5" s="34"/>
      <c r="AM5" s="34"/>
      <c r="AN5" s="34"/>
      <c r="AO5" s="34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</row>
    <row r="6" ht="18" customHeight="1" spans="2:68">
      <c r="B6" s="20"/>
      <c r="C6" s="20"/>
      <c r="D6" s="20"/>
      <c r="E6" s="20"/>
      <c r="F6" s="20"/>
      <c r="G6" s="20"/>
      <c r="H6" s="20"/>
      <c r="I6" s="20"/>
      <c r="J6" s="20"/>
      <c r="L6" s="31" t="s">
        <v>1</v>
      </c>
      <c r="M6" s="31"/>
      <c r="N6" s="32">
        <v>7</v>
      </c>
      <c r="O6" s="31" t="s">
        <v>2</v>
      </c>
      <c r="P6" s="31"/>
      <c r="Q6" s="33">
        <f>[1]DATA!C9</f>
        <v>2025</v>
      </c>
      <c r="R6" s="33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W6" s="14"/>
      <c r="BO6" s="64"/>
      <c r="BP6" s="64"/>
    </row>
    <row r="7" spans="35:68">
      <c r="AI7" s="35" t="s">
        <v>3</v>
      </c>
      <c r="AJ7" s="36"/>
      <c r="AK7" s="36"/>
      <c r="AL7" s="37">
        <f>IF(C3=[1]DATA!$I$5,$AN$7,$AO$7)</f>
        <v>25</v>
      </c>
      <c r="AM7" s="37"/>
      <c r="AN7" s="38">
        <f>IF(OR(N6=4,N6=6,N6=9,N6=11),30-COUNTIF(D9:AG9,"CN")-COUNTIF(D9:AG9,"T7")/2,IF(AND(N6=2,MOD(Q6,4)&gt;0),28-COUNTIF(D9:AE9,"CN")-COUNTIF(D9:AE9,"T7")/2,IF(N6=2,29-COUNTIF(D9:AF9,"CN")-COUNTIF(D9:AF9,"T7")/2,31-COUNTIF(D9:AH9,"CN")-COUNTIF(D9:AH9,"T7")/2)))</f>
        <v>25</v>
      </c>
      <c r="AO7" s="38">
        <f>IF(OR(N6=4,N6=6,N6=9,N6=11),30-COUNTIF(D9:AG9,"CN"),IF(AND(N6=2,MOD(Q6,4)&gt;0),28-COUNTIF(D9:AE9,"CN"),IF(N6=2,29-COUNTIF(D9:AF9,"CN"),31-COUNTIF(D9:AH9,"CN"))))</f>
        <v>27</v>
      </c>
      <c r="AW7" s="50" t="str">
        <f>IF(COUNTIF($AW$10:$AW$108,"&gt;100%")&gt;0,"xemlai","OK")</f>
        <v>OK</v>
      </c>
      <c r="BP7" s="14"/>
    </row>
    <row r="8" s="1" customFormat="1" ht="78.75" customHeight="1" spans="1:66">
      <c r="A8" s="21" t="s">
        <v>4</v>
      </c>
      <c r="B8" s="21" t="s">
        <v>5</v>
      </c>
      <c r="C8" s="21" t="s">
        <v>6</v>
      </c>
      <c r="D8" s="22">
        <f>DATE($Q$6,$N$6,1)</f>
        <v>45839</v>
      </c>
      <c r="E8" s="22">
        <f>D8+1</f>
        <v>45840</v>
      </c>
      <c r="F8" s="22">
        <f t="shared" ref="F8:AH8" si="0">E8+1</f>
        <v>45841</v>
      </c>
      <c r="G8" s="22">
        <f t="shared" si="0"/>
        <v>45842</v>
      </c>
      <c r="H8" s="22">
        <f t="shared" si="0"/>
        <v>45843</v>
      </c>
      <c r="I8" s="22">
        <f t="shared" si="0"/>
        <v>45844</v>
      </c>
      <c r="J8" s="22">
        <f t="shared" si="0"/>
        <v>45845</v>
      </c>
      <c r="K8" s="22">
        <f t="shared" si="0"/>
        <v>45846</v>
      </c>
      <c r="L8" s="22">
        <f t="shared" si="0"/>
        <v>45847</v>
      </c>
      <c r="M8" s="22">
        <f t="shared" si="0"/>
        <v>45848</v>
      </c>
      <c r="N8" s="22">
        <f t="shared" si="0"/>
        <v>45849</v>
      </c>
      <c r="O8" s="22">
        <f t="shared" si="0"/>
        <v>45850</v>
      </c>
      <c r="P8" s="22">
        <f t="shared" si="0"/>
        <v>45851</v>
      </c>
      <c r="Q8" s="22">
        <f t="shared" si="0"/>
        <v>45852</v>
      </c>
      <c r="R8" s="22">
        <f t="shared" si="0"/>
        <v>45853</v>
      </c>
      <c r="S8" s="22">
        <f t="shared" si="0"/>
        <v>45854</v>
      </c>
      <c r="T8" s="22">
        <f t="shared" si="0"/>
        <v>45855</v>
      </c>
      <c r="U8" s="22">
        <f t="shared" si="0"/>
        <v>45856</v>
      </c>
      <c r="V8" s="22">
        <f t="shared" si="0"/>
        <v>45857</v>
      </c>
      <c r="W8" s="22">
        <f t="shared" si="0"/>
        <v>45858</v>
      </c>
      <c r="X8" s="22">
        <f t="shared" si="0"/>
        <v>45859</v>
      </c>
      <c r="Y8" s="22">
        <f t="shared" si="0"/>
        <v>45860</v>
      </c>
      <c r="Z8" s="22">
        <f t="shared" si="0"/>
        <v>45861</v>
      </c>
      <c r="AA8" s="22">
        <f t="shared" si="0"/>
        <v>45862</v>
      </c>
      <c r="AB8" s="22">
        <f t="shared" si="0"/>
        <v>45863</v>
      </c>
      <c r="AC8" s="22">
        <f t="shared" si="0"/>
        <v>45864</v>
      </c>
      <c r="AD8" s="22">
        <f t="shared" si="0"/>
        <v>45865</v>
      </c>
      <c r="AE8" s="22">
        <f t="shared" si="0"/>
        <v>45866</v>
      </c>
      <c r="AF8" s="22">
        <f t="shared" si="0"/>
        <v>45867</v>
      </c>
      <c r="AG8" s="22">
        <f t="shared" si="0"/>
        <v>45868</v>
      </c>
      <c r="AH8" s="22">
        <f t="shared" si="0"/>
        <v>45869</v>
      </c>
      <c r="AI8" s="39" t="s">
        <v>7</v>
      </c>
      <c r="AJ8" s="40" t="s">
        <v>8</v>
      </c>
      <c r="AK8" s="40" t="s">
        <v>9</v>
      </c>
      <c r="AL8" s="41" t="s">
        <v>10</v>
      </c>
      <c r="AM8" s="41" t="s">
        <v>11</v>
      </c>
      <c r="AN8" s="41" t="s">
        <v>12</v>
      </c>
      <c r="AO8" s="45" t="s">
        <v>13</v>
      </c>
      <c r="AP8" s="41" t="s">
        <v>14</v>
      </c>
      <c r="AQ8" s="41" t="s">
        <v>15</v>
      </c>
      <c r="AR8" s="41" t="s">
        <v>16</v>
      </c>
      <c r="AS8" s="46" t="s">
        <v>17</v>
      </c>
      <c r="AT8" s="47" t="s">
        <v>18</v>
      </c>
      <c r="AU8" s="48" t="s">
        <v>19</v>
      </c>
      <c r="AV8" s="48" t="s">
        <v>20</v>
      </c>
      <c r="AW8" s="51" t="s">
        <v>21</v>
      </c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</row>
    <row r="9" s="2" customFormat="1" ht="27.75" customHeight="1" spans="1:66">
      <c r="A9" s="21">
        <f>MAX(A10:A108)</f>
        <v>8</v>
      </c>
      <c r="B9" s="21" t="str">
        <f>[1]PHEPNAM!$B$9</f>
        <v>BTGĐ</v>
      </c>
      <c r="C9" s="21"/>
      <c r="D9" s="23" t="str">
        <f>CHOOSE(WEEKDAY(D8),"CN","T2","T3","T4","T5","T6","T7")</f>
        <v>T3</v>
      </c>
      <c r="E9" s="23" t="str">
        <f t="shared" ref="E9:AH9" si="1">CHOOSE(WEEKDAY(E8),"CN","T2","T3","T4","T5","T6","T7")</f>
        <v>T4</v>
      </c>
      <c r="F9" s="23" t="str">
        <f t="shared" si="1"/>
        <v>T5</v>
      </c>
      <c r="G9" s="23" t="str">
        <f t="shared" si="1"/>
        <v>T6</v>
      </c>
      <c r="H9" s="23" t="str">
        <f t="shared" si="1"/>
        <v>T7</v>
      </c>
      <c r="I9" s="23" t="str">
        <f t="shared" si="1"/>
        <v>CN</v>
      </c>
      <c r="J9" s="23" t="str">
        <f t="shared" si="1"/>
        <v>T2</v>
      </c>
      <c r="K9" s="23" t="str">
        <f t="shared" si="1"/>
        <v>T3</v>
      </c>
      <c r="L9" s="23" t="str">
        <f t="shared" si="1"/>
        <v>T4</v>
      </c>
      <c r="M9" s="23" t="str">
        <f t="shared" si="1"/>
        <v>T5</v>
      </c>
      <c r="N9" s="23" t="str">
        <f t="shared" si="1"/>
        <v>T6</v>
      </c>
      <c r="O9" s="23" t="str">
        <f t="shared" si="1"/>
        <v>T7</v>
      </c>
      <c r="P9" s="23" t="str">
        <f t="shared" si="1"/>
        <v>CN</v>
      </c>
      <c r="Q9" s="23" t="str">
        <f t="shared" si="1"/>
        <v>T2</v>
      </c>
      <c r="R9" s="23" t="str">
        <f t="shared" si="1"/>
        <v>T3</v>
      </c>
      <c r="S9" s="23" t="str">
        <f t="shared" si="1"/>
        <v>T4</v>
      </c>
      <c r="T9" s="23" t="str">
        <f t="shared" si="1"/>
        <v>T5</v>
      </c>
      <c r="U9" s="23" t="str">
        <f t="shared" si="1"/>
        <v>T6</v>
      </c>
      <c r="V9" s="23" t="str">
        <f t="shared" si="1"/>
        <v>T7</v>
      </c>
      <c r="W9" s="23" t="str">
        <f t="shared" si="1"/>
        <v>CN</v>
      </c>
      <c r="X9" s="23" t="str">
        <f t="shared" si="1"/>
        <v>T2</v>
      </c>
      <c r="Y9" s="23" t="str">
        <f t="shared" si="1"/>
        <v>T3</v>
      </c>
      <c r="Z9" s="23" t="str">
        <f t="shared" si="1"/>
        <v>T4</v>
      </c>
      <c r="AA9" s="23" t="str">
        <f t="shared" si="1"/>
        <v>T5</v>
      </c>
      <c r="AB9" s="23" t="str">
        <f t="shared" si="1"/>
        <v>T6</v>
      </c>
      <c r="AC9" s="23" t="str">
        <f t="shared" si="1"/>
        <v>T7</v>
      </c>
      <c r="AD9" s="23" t="str">
        <f t="shared" si="1"/>
        <v>CN</v>
      </c>
      <c r="AE9" s="23" t="str">
        <f t="shared" si="1"/>
        <v>T2</v>
      </c>
      <c r="AF9" s="23" t="str">
        <f t="shared" si="1"/>
        <v>T3</v>
      </c>
      <c r="AG9" s="23" t="str">
        <f t="shared" si="1"/>
        <v>T4</v>
      </c>
      <c r="AH9" s="23" t="str">
        <f t="shared" si="1"/>
        <v>T5</v>
      </c>
      <c r="AI9" s="42"/>
      <c r="AJ9" s="42">
        <f>SUMIF($B$10:$B$108,$B$9&amp;"*",AJ$10:AJ$108)</f>
        <v>2.5</v>
      </c>
      <c r="AK9" s="42">
        <f>SUMIF($B$10:$B$108,$B$9&amp;"*",AK$10:AK$108)</f>
        <v>2</v>
      </c>
      <c r="AL9" s="42">
        <f>SUMIF($B$10:$B$108,$B$9&amp;"*",AL$10:AL$108)</f>
        <v>0</v>
      </c>
      <c r="AM9" s="42">
        <f>SUMIF($B$10:$B$108,$B$9&amp;"*",AM$10:AM$108)</f>
        <v>0</v>
      </c>
      <c r="AN9" s="42">
        <f>SUMIF($B$10:$B$108,$B$9&amp;"*",AN$10:AN$108)</f>
        <v>0</v>
      </c>
      <c r="AO9" s="42">
        <f>SUMIF($B$10:$B$108,$B$9&amp;"*",AO$10:AO$108)</f>
        <v>0</v>
      </c>
      <c r="AP9" s="42">
        <f>SUMIF($B$10:$B$108,$B$9&amp;"*",AP$10:AP$108)</f>
        <v>0</v>
      </c>
      <c r="AQ9" s="42">
        <f>SUMIF($B$10:$B$108,$B$9&amp;"*",AQ$10:AQ$108)</f>
        <v>0</v>
      </c>
      <c r="AR9" s="42">
        <f>SUMIF($B$10:$B$108,$B$9&amp;"*",AR$10:AR$108)</f>
        <v>0</v>
      </c>
      <c r="AS9" s="42">
        <f>SUMIF($B$10:$B$108,$B$9&amp;"*",AS$10:AS$108)</f>
        <v>0</v>
      </c>
      <c r="AT9" s="42">
        <f>SUMIF($B$10:$B$108,$B$9&amp;"*",AT$10:AT$108)</f>
        <v>0</v>
      </c>
      <c r="AU9" s="42">
        <f>SUMIF($B$10:$B$108,$B$9&amp;"*",AU$10:AU$108)</f>
        <v>0</v>
      </c>
      <c r="AV9" s="42">
        <f>SUMIF($B$10:$B$108,$B$9&amp;"*",AV$10:AV$108)</f>
        <v>0</v>
      </c>
      <c r="AW9" s="51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</row>
    <row r="10" s="3" customFormat="1" ht="14.25" customHeight="1" spans="1:67">
      <c r="A10" s="24">
        <f>IF([1]PHEPNAM!A10="","",[1]PHEPNAM!A10)</f>
        <v>1</v>
      </c>
      <c r="B10" s="25" t="str">
        <f>IF(AND([1]PHEPNAM!E10="",[1]PHEPNAM!Y10="@"),"",IF(AND([1]PHEPNAM!C10="",[1]PHEPNAM!Y10=2),2,[1]PHEPNAM!C10))</f>
        <v>BTGĐTRƯƠNG CHÍ A</v>
      </c>
      <c r="C10" s="25" t="str">
        <f>IF([1]PHEPNAM!E10="","",[1]PHEPNAM!E10)</f>
        <v>TRƯƠNG CHÍ A</v>
      </c>
      <c r="D10" s="26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43">
        <f t="shared" ref="AI10:AI73" si="2">IF($C10="","",$AL$7-AJ10-AK10-AN10-AO10-AP10-AQ10-AR10-AS10-AL10+COUNTIF($D10:$AH10,"3D2")+COUNTIF($D10:$AH10,"3D3")*2-COUNTIFS($D$9:$AH$9,"CN",$D10:$AH10,"3D2")+COUNTIFS($D$9:$AH$9,"T7",$D10:$AH10,"3D/2"/2))</f>
        <v>25</v>
      </c>
      <c r="AJ10" s="43">
        <f>IF($C10="","",COUNTIF($D10:$AH10,[1]DATA!$F$6)+COUNTIF($D10:$AH10,[1]DATA!$F$15)/2)</f>
        <v>0</v>
      </c>
      <c r="AK10" s="43">
        <f>IF($C10="","",COUNTIF($D10:$AH10,[1]DATA!$F$7)+COUNTIF($D10:$AH10,[1]DATA!$F$16)/2)</f>
        <v>0</v>
      </c>
      <c r="AL10" s="44">
        <f>IF($C10="","",(COUNTIF($D10:$AH10,[1]DATA!$F$8)+COUNTIF($D10:$AH10,[1]DATA!$F$17)/2)+COUNTIF($D10:$AH10,[1]DATA!$F$26)*2+COUNTIF($D10:$AH10,[1]DATA!$F$27)*3-AM10)</f>
        <v>0</v>
      </c>
      <c r="AM10" s="44">
        <f t="shared" ref="AM10:AM73" si="3">IFERROR(IF($C10="","",COUNTIFS($D$9:$AH$9,"CN",$D10:$AH10,"3D")+COUNTIFS($D$9:$AH$9,"T7",$D10:$AH10,"3D")/2)+COUNTIFS($D$9:$AH$9,"CN",$D10:$AH10,"3D2")*2+COUNTIFS($D$9:$AH$9,"T7",$D10:$AH10,"3D2")+COUNTIFS($D$9:$AH$9,"CN",$D10:$AH10,"3D/2")/2,"")</f>
        <v>0</v>
      </c>
      <c r="AN10" s="43">
        <f>IF($C10="","",COUNTIF($D10:$AH10,[1]DATA!$F$9)+COUNTIF($D10:$AH10,[1]DATA!$F$18)/2)</f>
        <v>0</v>
      </c>
      <c r="AO10" s="43">
        <f>IF($C10="","",COUNTIF($D10:$AH10,[1]DATA!$F$10)+COUNTIF($D10:$AH10,[1]DATA!$F$19)/2)</f>
        <v>0</v>
      </c>
      <c r="AP10" s="43">
        <f>IF($C10="","",COUNTIF($D10:$AH10,[1]DATA!$F$11)+COUNTIF($D10:$AH10,[1]DATA!$F$20)/2)</f>
        <v>0</v>
      </c>
      <c r="AQ10" s="43">
        <f>IF($C10="","",COUNTIF($D10:$AH10,[1]DATA!$F$12)+COUNTIF($D10:$AH10,[1]DATA!$F$21)/2)</f>
        <v>0</v>
      </c>
      <c r="AR10" s="43">
        <f>IF($C10="","",COUNTIF($D10:$AH10,[1]DATA!$F$13)+COUNTIF($D10:$AH10,[1]DATA!$F$22)/2)</f>
        <v>0</v>
      </c>
      <c r="AS10" s="43">
        <f>IF($C10="","",COUNTIF($D10:$AH10,[1]DATA!$F$14)+COUNTIF($D10:$AH10,[1]DATA!$F$23)/2)</f>
        <v>0</v>
      </c>
      <c r="AT10" s="43">
        <f>IF($C10="","",COUNTIF($D10:$AH10,[1]DATA!$F$24)+COUNTIF($D10:$AH10,[1]DATA!$F$25)/2)</f>
        <v>0</v>
      </c>
      <c r="AU10" s="49">
        <f t="shared" ref="AU10:AU73" si="4">IF($C10="","",COUNTIF($D10:$AH10,"3DL"))</f>
        <v>0</v>
      </c>
      <c r="AV10" s="49">
        <f t="shared" ref="AV10:AV73" si="5">IF($C10="","",COUNTIF($D10:$AH10,"OnL"))</f>
        <v>0</v>
      </c>
      <c r="AW10" s="53">
        <v>1</v>
      </c>
      <c r="AX10" s="54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1"/>
    </row>
    <row r="11" s="3" customFormat="1" ht="14.25" customHeight="1" spans="1:66">
      <c r="A11" s="24">
        <f>IF([1]PHEPNAM!A12="","",[1]PHEPNAM!A12)</f>
        <v>2</v>
      </c>
      <c r="B11" s="25" t="str">
        <f>IF(AND([1]PHEPNAM!E12="",[1]PHEPNAM!Y12="@"),"",IF(AND([1]PHEPNAM!C12="",[1]PHEPNAM!Y12=2),2,[1]PHEPNAM!C12))</f>
        <v>BTGĐLƯƠNG QUỐC B</v>
      </c>
      <c r="C11" s="25" t="str">
        <f>IF([1]PHEPNAM!E12="","",[1]PHEPNAM!E12)</f>
        <v>LƯƠNG QUỐC B</v>
      </c>
      <c r="D11" s="26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43">
        <f t="shared" si="2"/>
        <v>25</v>
      </c>
      <c r="AJ11" s="43">
        <f>IF($C11="","",COUNTIF($D11:$AH11,[1]DATA!$F$6)+COUNTIF($D11:$AH11,[1]DATA!$F$15)/2)</f>
        <v>0</v>
      </c>
      <c r="AK11" s="43">
        <f>IF($C11="","",COUNTIF($D11:$AH11,[1]DATA!$F$7)+COUNTIF($D11:$AH11,[1]DATA!$F$16)/2)</f>
        <v>0</v>
      </c>
      <c r="AL11" s="44">
        <f>IF($C11="","",(COUNTIF($D11:$AH11,[1]DATA!$F$8)+COUNTIF($D11:$AH11,[1]DATA!$F$17)/2)+COUNTIF($D11:$AH11,[1]DATA!$F$26)*2+COUNTIF($D11:$AH11,[1]DATA!$F$27)*3-AM11)</f>
        <v>0</v>
      </c>
      <c r="AM11" s="44">
        <f t="shared" si="3"/>
        <v>0</v>
      </c>
      <c r="AN11" s="43">
        <f>IF($C11="","",COUNTIF($D11:$AH11,[1]DATA!$F$9)+COUNTIF($D11:$AH11,[1]DATA!$F$18)/2)</f>
        <v>0</v>
      </c>
      <c r="AO11" s="43">
        <f>IF($C11="","",COUNTIF($D11:$AH11,[1]DATA!$F$10)+COUNTIF($D11:$AH11,[1]DATA!$F$19)/2)</f>
        <v>0</v>
      </c>
      <c r="AP11" s="43">
        <f>IF($C11="","",COUNTIF($D11:$AH11,[1]DATA!$F$11)+COUNTIF($D11:$AH11,[1]DATA!$F$20)/2)</f>
        <v>0</v>
      </c>
      <c r="AQ11" s="43">
        <f>IF($C11="","",COUNTIF($D11:$AH11,[1]DATA!$F$12)+COUNTIF($D11:$AH11,[1]DATA!$F$21)/2)</f>
        <v>0</v>
      </c>
      <c r="AR11" s="43">
        <f>IF($C11="","",COUNTIF($D11:$AH11,[1]DATA!$F$13)+COUNTIF($D11:$AH11,[1]DATA!$F$22)/2)</f>
        <v>0</v>
      </c>
      <c r="AS11" s="43">
        <f>IF($C11="","",COUNTIF($D11:$AH11,[1]DATA!$F$14)+COUNTIF($D11:$AH11,[1]DATA!$F$23)/2)</f>
        <v>0</v>
      </c>
      <c r="AT11" s="43">
        <f>IF($C11="","",COUNTIF($D11:$AH11,[1]DATA!$F$24)+COUNTIF($D11:$AH11,[1]DATA!$F$25)/2)</f>
        <v>0</v>
      </c>
      <c r="AU11" s="49">
        <f t="shared" si="4"/>
        <v>0</v>
      </c>
      <c r="AV11" s="49">
        <f t="shared" si="5"/>
        <v>0</v>
      </c>
      <c r="AW11" s="53">
        <v>1</v>
      </c>
      <c r="AX11" s="54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</row>
    <row r="12" s="3" customFormat="1" ht="14.25" customHeight="1" spans="1:66">
      <c r="A12" s="24">
        <f>IF([1]PHEPNAM!A13="","",[1]PHEPNAM!A13)</f>
        <v>3</v>
      </c>
      <c r="B12" s="25" t="str">
        <f>IF(AND([1]PHEPNAM!E13="",[1]PHEPNAM!Y13="@"),"",IF(AND([1]PHEPNAM!C13="",[1]PHEPNAM!Y13=2),2,[1]PHEPNAM!C13))</f>
        <v>BTGĐVÕ THỊ TỐ C</v>
      </c>
      <c r="C12" s="25" t="str">
        <f>IF([1]PHEPNAM!E13="","",[1]PHEPNAM!E13)</f>
        <v>VÕ THỊ TỐ C</v>
      </c>
      <c r="D12" s="26"/>
      <c r="E12" s="27"/>
      <c r="F12" s="27"/>
      <c r="G12" s="27"/>
      <c r="H12" s="27" t="s">
        <v>22</v>
      </c>
      <c r="I12" s="27" t="s">
        <v>23</v>
      </c>
      <c r="J12" s="27"/>
      <c r="K12" s="27" t="s">
        <v>22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43">
        <f t="shared" si="2"/>
        <v>22.5</v>
      </c>
      <c r="AJ12" s="43">
        <f>IF($C12="","",COUNTIF($D12:$AH12,[1]DATA!$F$6)+COUNTIF($D12:$AH12,[1]DATA!$F$15)/2)</f>
        <v>2.5</v>
      </c>
      <c r="AK12" s="43">
        <f>IF($C12="","",COUNTIF($D12:$AH12,[1]DATA!$F$7)+COUNTIF($D12:$AH12,[1]DATA!$F$16)/2)</f>
        <v>0</v>
      </c>
      <c r="AL12" s="44">
        <f>IF($C12="","",(COUNTIF($D12:$AH12,[1]DATA!$F$8)+COUNTIF($D12:$AH12,[1]DATA!$F$17)/2)+COUNTIF($D12:$AH12,[1]DATA!$F$26)*2+COUNTIF($D12:$AH12,[1]DATA!$F$27)*3-AM12)</f>
        <v>0</v>
      </c>
      <c r="AM12" s="44">
        <f t="shared" si="3"/>
        <v>0</v>
      </c>
      <c r="AN12" s="43">
        <f>IF($C12="","",COUNTIF($D12:$AH12,[1]DATA!$F$9)+COUNTIF($D12:$AH12,[1]DATA!$F$18)/2)</f>
        <v>0</v>
      </c>
      <c r="AO12" s="43">
        <f>IF($C12="","",COUNTIF($D12:$AH12,[1]DATA!$F$10)+COUNTIF($D12:$AH12,[1]DATA!$F$19)/2)</f>
        <v>0</v>
      </c>
      <c r="AP12" s="43">
        <f>IF($C12="","",COUNTIF($D12:$AH12,[1]DATA!$F$11)+COUNTIF($D12:$AH12,[1]DATA!$F$20)/2)</f>
        <v>0</v>
      </c>
      <c r="AQ12" s="43">
        <f>IF($C12="","",COUNTIF($D12:$AH12,[1]DATA!$F$12)+COUNTIF($D12:$AH12,[1]DATA!$F$21)/2)</f>
        <v>0</v>
      </c>
      <c r="AR12" s="43">
        <f>IF($C12="","",COUNTIF($D12:$AH12,[1]DATA!$F$13)+COUNTIF($D12:$AH12,[1]DATA!$F$22)/2)</f>
        <v>0</v>
      </c>
      <c r="AS12" s="43">
        <f>IF($C12="","",COUNTIF($D12:$AH12,[1]DATA!$F$14)+COUNTIF($D12:$AH12,[1]DATA!$F$23)/2)</f>
        <v>0</v>
      </c>
      <c r="AT12" s="43">
        <f>IF($C12="","",COUNTIF($D12:$AH12,[1]DATA!$F$24)+COUNTIF($D12:$AH12,[1]DATA!$F$25)/2)</f>
        <v>0</v>
      </c>
      <c r="AU12" s="49">
        <f t="shared" si="4"/>
        <v>0</v>
      </c>
      <c r="AV12" s="49">
        <f t="shared" si="5"/>
        <v>0</v>
      </c>
      <c r="AW12" s="53">
        <v>1</v>
      </c>
      <c r="AX12" s="54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</row>
    <row r="13" s="3" customFormat="1" ht="14.25" customHeight="1" spans="1:66">
      <c r="A13" s="24">
        <f>IF([1]PHEPNAM!A14="","",[1]PHEPNAM!A14)</f>
        <v>4</v>
      </c>
      <c r="B13" s="25" t="str">
        <f>IF(AND([1]PHEPNAM!E14="",[1]PHEPNAM!Y14="@"),"",IF(AND([1]PHEPNAM!C14="",[1]PHEPNAM!Y14=2),2,[1]PHEPNAM!C14))</f>
        <v>BTGĐTRỊNH HÙNG H</v>
      </c>
      <c r="C13" s="25" t="str">
        <f>IF([1]PHEPNAM!E14="","",[1]PHEPNAM!E14)</f>
        <v>TRỊNH HÙNG H</v>
      </c>
      <c r="D13" s="26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43">
        <f t="shared" si="2"/>
        <v>25</v>
      </c>
      <c r="AJ13" s="43">
        <f>IF($C13="","",COUNTIF($D13:$AH13,[1]DATA!$F$6)+COUNTIF($D13:$AH13,[1]DATA!$F$15)/2)</f>
        <v>0</v>
      </c>
      <c r="AK13" s="43">
        <f>IF($C13="","",COUNTIF($D13:$AH13,[1]DATA!$F$7)+COUNTIF($D13:$AH13,[1]DATA!$F$16)/2)</f>
        <v>0</v>
      </c>
      <c r="AL13" s="44">
        <f>IF($C13="","",(COUNTIF($D13:$AH13,[1]DATA!$F$8)+COUNTIF($D13:$AH13,[1]DATA!$F$17)/2)+COUNTIF($D13:$AH13,[1]DATA!$F$26)*2+COUNTIF($D13:$AH13,[1]DATA!$F$27)*3-AM13)</f>
        <v>0</v>
      </c>
      <c r="AM13" s="44">
        <f t="shared" si="3"/>
        <v>0</v>
      </c>
      <c r="AN13" s="43">
        <f>IF($C13="","",COUNTIF($D13:$AH13,[1]DATA!$F$9)+COUNTIF($D13:$AH13,[1]DATA!$F$18)/2)</f>
        <v>0</v>
      </c>
      <c r="AO13" s="43">
        <f>IF($C13="","",COUNTIF($D13:$AH13,[1]DATA!$F$10)+COUNTIF($D13:$AH13,[1]DATA!$F$19)/2)</f>
        <v>0</v>
      </c>
      <c r="AP13" s="43">
        <f>IF($C13="","",COUNTIF($D13:$AH13,[1]DATA!$F$11)+COUNTIF($D13:$AH13,[1]DATA!$F$20)/2)</f>
        <v>0</v>
      </c>
      <c r="AQ13" s="43">
        <f>IF($C13="","",COUNTIF($D13:$AH13,[1]DATA!$F$12)+COUNTIF($D13:$AH13,[1]DATA!$F$21)/2)</f>
        <v>0</v>
      </c>
      <c r="AR13" s="43">
        <f>IF($C13="","",COUNTIF($D13:$AH13,[1]DATA!$F$13)+COUNTIF($D13:$AH13,[1]DATA!$F$22)/2)</f>
        <v>0</v>
      </c>
      <c r="AS13" s="43">
        <f>IF($C13="","",COUNTIF($D13:$AH13,[1]DATA!$F$14)+COUNTIF($D13:$AH13,[1]DATA!$F$23)/2)</f>
        <v>0</v>
      </c>
      <c r="AT13" s="43">
        <f>IF($C13="","",COUNTIF($D13:$AH13,[1]DATA!$F$24)+COUNTIF($D13:$AH13,[1]DATA!$F$25)/2)</f>
        <v>0</v>
      </c>
      <c r="AU13" s="49">
        <f t="shared" si="4"/>
        <v>0</v>
      </c>
      <c r="AV13" s="49">
        <f t="shared" si="5"/>
        <v>0</v>
      </c>
      <c r="AW13" s="53">
        <v>1</v>
      </c>
      <c r="AX13" s="54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</row>
    <row r="14" s="3" customFormat="1" ht="14.25" customHeight="1" spans="1:66">
      <c r="A14" s="24">
        <f>IF([1]PHEPNAM!A15="","",[1]PHEPNAM!A15)</f>
        <v>5</v>
      </c>
      <c r="B14" s="25" t="str">
        <f>IF(AND([1]PHEPNAM!E15="",[1]PHEPNAM!Y15="@"),"",IF(AND([1]PHEPNAM!C15="",[1]PHEPNAM!Y15=2),2,[1]PHEPNAM!C15))</f>
        <v>BTGĐPHẠM K</v>
      </c>
      <c r="C14" s="25" t="str">
        <f>IF([1]PHEPNAM!E15="","",[1]PHEPNAM!E15)</f>
        <v>PHẠM K</v>
      </c>
      <c r="D14" s="26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43">
        <f t="shared" si="2"/>
        <v>25</v>
      </c>
      <c r="AJ14" s="43">
        <f>IF($C14="","",COUNTIF($D14:$AH14,[1]DATA!$F$6)+COUNTIF($D14:$AH14,[1]DATA!$F$15)/2)</f>
        <v>0</v>
      </c>
      <c r="AK14" s="43">
        <f>IF($C14="","",COUNTIF($D14:$AH14,[1]DATA!$F$7)+COUNTIF($D14:$AH14,[1]DATA!$F$16)/2)</f>
        <v>0</v>
      </c>
      <c r="AL14" s="44">
        <f>IF($C14="","",(COUNTIF($D14:$AH14,[1]DATA!$F$8)+COUNTIF($D14:$AH14,[1]DATA!$F$17)/2)+COUNTIF($D14:$AH14,[1]DATA!$F$26)*2+COUNTIF($D14:$AH14,[1]DATA!$F$27)*3-AM14)</f>
        <v>0</v>
      </c>
      <c r="AM14" s="44">
        <f t="shared" si="3"/>
        <v>0</v>
      </c>
      <c r="AN14" s="43">
        <f>IF($C14="","",COUNTIF($D14:$AH14,[1]DATA!$F$9)+COUNTIF($D14:$AH14,[1]DATA!$F$18)/2)</f>
        <v>0</v>
      </c>
      <c r="AO14" s="43">
        <f>IF($C14="","",COUNTIF($D14:$AH14,[1]DATA!$F$10)+COUNTIF($D14:$AH14,[1]DATA!$F$19)/2)</f>
        <v>0</v>
      </c>
      <c r="AP14" s="43">
        <f>IF($C14="","",COUNTIF($D14:$AH14,[1]DATA!$F$11)+COUNTIF($D14:$AH14,[1]DATA!$F$20)/2)</f>
        <v>0</v>
      </c>
      <c r="AQ14" s="43">
        <f>IF($C14="","",COUNTIF($D14:$AH14,[1]DATA!$F$12)+COUNTIF($D14:$AH14,[1]DATA!$F$21)/2)</f>
        <v>0</v>
      </c>
      <c r="AR14" s="43">
        <f>IF($C14="","",COUNTIF($D14:$AH14,[1]DATA!$F$13)+COUNTIF($D14:$AH14,[1]DATA!$F$22)/2)</f>
        <v>0</v>
      </c>
      <c r="AS14" s="43">
        <f>IF($C14="","",COUNTIF($D14:$AH14,[1]DATA!$F$14)+COUNTIF($D14:$AH14,[1]DATA!$F$23)/2)</f>
        <v>0</v>
      </c>
      <c r="AT14" s="43">
        <f>IF($C14="","",COUNTIF($D14:$AH14,[1]DATA!$F$24)+COUNTIF($D14:$AH14,[1]DATA!$F$25)/2)</f>
        <v>0</v>
      </c>
      <c r="AU14" s="49">
        <f t="shared" si="4"/>
        <v>0</v>
      </c>
      <c r="AV14" s="49">
        <f t="shared" si="5"/>
        <v>0</v>
      </c>
      <c r="AW14" s="53">
        <v>1</v>
      </c>
      <c r="AX14" s="54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</row>
    <row r="15" s="3" customFormat="1" ht="14.25" customHeight="1" spans="1:66">
      <c r="A15" s="24">
        <f>IF([1]PHEPNAM!A16="","",[1]PHEPNAM!A16)</f>
        <v>6</v>
      </c>
      <c r="B15" s="25" t="str">
        <f>IF(AND([1]PHEPNAM!E16="",[1]PHEPNAM!Y16="@"),"",IF(AND([1]PHEPNAM!C16="",[1]PHEPNAM!Y16=2),2,[1]PHEPNAM!C16))</f>
        <v>BTGĐNGUYỄN THỊ L</v>
      </c>
      <c r="C15" s="25" t="str">
        <f>IF([1]PHEPNAM!E16="","",[1]PHEPNAM!E16)</f>
        <v>NGUYỄN THỊ L</v>
      </c>
      <c r="D15" s="26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43">
        <f t="shared" si="2"/>
        <v>25</v>
      </c>
      <c r="AJ15" s="43">
        <f>IF($C15="","",COUNTIF($D15:$AH15,[1]DATA!$F$6)+COUNTIF($D15:$AH15,[1]DATA!$F$15)/2)</f>
        <v>0</v>
      </c>
      <c r="AK15" s="43">
        <f>IF($C15="","",COUNTIF($D15:$AH15,[1]DATA!$F$7)+COUNTIF($D15:$AH15,[1]DATA!$F$16)/2)</f>
        <v>0</v>
      </c>
      <c r="AL15" s="44">
        <f>IF($C15="","",(COUNTIF($D15:$AH15,[1]DATA!$F$8)+COUNTIF($D15:$AH15,[1]DATA!$F$17)/2)+COUNTIF($D15:$AH15,[1]DATA!$F$26)*2+COUNTIF($D15:$AH15,[1]DATA!$F$27)*3-AM15)</f>
        <v>0</v>
      </c>
      <c r="AM15" s="44">
        <f t="shared" si="3"/>
        <v>0</v>
      </c>
      <c r="AN15" s="43">
        <f>IF($C15="","",COUNTIF($D15:$AH15,[1]DATA!$F$9)+COUNTIF($D15:$AH15,[1]DATA!$F$18)/2)</f>
        <v>0</v>
      </c>
      <c r="AO15" s="43">
        <f>IF($C15="","",COUNTIF($D15:$AH15,[1]DATA!$F$10)+COUNTIF($D15:$AH15,[1]DATA!$F$19)/2)</f>
        <v>0</v>
      </c>
      <c r="AP15" s="43">
        <f>IF($C15="","",COUNTIF($D15:$AH15,[1]DATA!$F$11)+COUNTIF($D15:$AH15,[1]DATA!$F$20)/2)</f>
        <v>0</v>
      </c>
      <c r="AQ15" s="43">
        <f>IF($C15="","",COUNTIF($D15:$AH15,[1]DATA!$F$12)+COUNTIF($D15:$AH15,[1]DATA!$F$21)/2)</f>
        <v>0</v>
      </c>
      <c r="AR15" s="43">
        <f>IF($C15="","",COUNTIF($D15:$AH15,[1]DATA!$F$13)+COUNTIF($D15:$AH15,[1]DATA!$F$22)/2)</f>
        <v>0</v>
      </c>
      <c r="AS15" s="43">
        <f>IF($C15="","",COUNTIF($D15:$AH15,[1]DATA!$F$14)+COUNTIF($D15:$AH15,[1]DATA!$F$23)/2)</f>
        <v>0</v>
      </c>
      <c r="AT15" s="43">
        <f>IF($C15="","",COUNTIF($D15:$AH15,[1]DATA!$F$24)+COUNTIF($D15:$AH15,[1]DATA!$F$25)/2)</f>
        <v>0</v>
      </c>
      <c r="AU15" s="49">
        <f t="shared" si="4"/>
        <v>0</v>
      </c>
      <c r="AV15" s="49">
        <f t="shared" si="5"/>
        <v>0</v>
      </c>
      <c r="AW15" s="53">
        <v>1</v>
      </c>
      <c r="AX15" s="54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</row>
    <row r="16" s="3" customFormat="1" ht="14.25" customHeight="1" spans="1:66">
      <c r="A16" s="24">
        <f>IF([1]PHEPNAM!A17="","",[1]PHEPNAM!A17)</f>
        <v>7</v>
      </c>
      <c r="B16" s="25" t="str">
        <f>IF(AND([1]PHEPNAM!E17="",[1]PHEPNAM!Y17="@"),"",IF(AND([1]PHEPNAM!C17="",[1]PHEPNAM!Y17=2),2,[1]PHEPNAM!C17))</f>
        <v>BTGĐDƯƠNG MINH F</v>
      </c>
      <c r="C16" s="25" t="str">
        <f>IF([1]PHEPNAM!E17="","",[1]PHEPNAM!E17)</f>
        <v>DƯƠNG MINH F</v>
      </c>
      <c r="D16" s="26"/>
      <c r="E16" s="27"/>
      <c r="F16" s="27"/>
      <c r="G16" s="27"/>
      <c r="H16" s="27" t="s">
        <v>24</v>
      </c>
      <c r="I16" s="27"/>
      <c r="J16" s="27"/>
      <c r="K16" s="27"/>
      <c r="L16" s="27"/>
      <c r="M16" s="27"/>
      <c r="N16" s="27"/>
      <c r="O16" s="27" t="s">
        <v>24</v>
      </c>
      <c r="P16" s="27"/>
      <c r="Q16" s="27"/>
      <c r="R16" s="27"/>
      <c r="S16" s="27"/>
      <c r="T16" s="27"/>
      <c r="U16" s="27"/>
      <c r="V16" s="27" t="s">
        <v>24</v>
      </c>
      <c r="W16" s="27"/>
      <c r="X16" s="27"/>
      <c r="Y16" s="27"/>
      <c r="Z16" s="27"/>
      <c r="AA16" s="27"/>
      <c r="AB16" s="27"/>
      <c r="AC16" s="27" t="s">
        <v>24</v>
      </c>
      <c r="AD16" s="27"/>
      <c r="AE16" s="27"/>
      <c r="AF16" s="27"/>
      <c r="AG16" s="27"/>
      <c r="AH16" s="27"/>
      <c r="AI16" s="43">
        <f t="shared" si="2"/>
        <v>23</v>
      </c>
      <c r="AJ16" s="43">
        <f>IF($C16="","",COUNTIF($D16:$AH16,[1]DATA!$F$6)+COUNTIF($D16:$AH16,[1]DATA!$F$15)/2)</f>
        <v>0</v>
      </c>
      <c r="AK16" s="43">
        <f>IF($C16="","",COUNTIF($D16:$AH16,[1]DATA!$F$7)+COUNTIF($D16:$AH16,[1]DATA!$F$16)/2)</f>
        <v>2</v>
      </c>
      <c r="AL16" s="44">
        <f>IF($C16="","",(COUNTIF($D16:$AH16,[1]DATA!$F$8)+COUNTIF($D16:$AH16,[1]DATA!$F$17)/2)+COUNTIF($D16:$AH16,[1]DATA!$F$26)*2+COUNTIF($D16:$AH16,[1]DATA!$F$27)*3-AM16)</f>
        <v>0</v>
      </c>
      <c r="AM16" s="44">
        <f t="shared" si="3"/>
        <v>0</v>
      </c>
      <c r="AN16" s="43">
        <f>IF($C16="","",COUNTIF($D16:$AH16,[1]DATA!$F$9)+COUNTIF($D16:$AH16,[1]DATA!$F$18)/2)</f>
        <v>0</v>
      </c>
      <c r="AO16" s="43">
        <f>IF($C16="","",COUNTIF($D16:$AH16,[1]DATA!$F$10)+COUNTIF($D16:$AH16,[1]DATA!$F$19)/2)</f>
        <v>0</v>
      </c>
      <c r="AP16" s="43">
        <f>IF($C16="","",COUNTIF($D16:$AH16,[1]DATA!$F$11)+COUNTIF($D16:$AH16,[1]DATA!$F$20)/2)</f>
        <v>0</v>
      </c>
      <c r="AQ16" s="43">
        <f>IF($C16="","",COUNTIF($D16:$AH16,[1]DATA!$F$12)+COUNTIF($D16:$AH16,[1]DATA!$F$21)/2)</f>
        <v>0</v>
      </c>
      <c r="AR16" s="43">
        <f>IF($C16="","",COUNTIF($D16:$AH16,[1]DATA!$F$13)+COUNTIF($D16:$AH16,[1]DATA!$F$22)/2)</f>
        <v>0</v>
      </c>
      <c r="AS16" s="43">
        <f>IF($C16="","",COUNTIF($D16:$AH16,[1]DATA!$F$14)+COUNTIF($D16:$AH16,[1]DATA!$F$23)/2)</f>
        <v>0</v>
      </c>
      <c r="AT16" s="43">
        <f>IF($C16="","",COUNTIF($D16:$AH16,[1]DATA!$F$24)+COUNTIF($D16:$AH16,[1]DATA!$F$25)/2)</f>
        <v>0</v>
      </c>
      <c r="AU16" s="49">
        <f t="shared" si="4"/>
        <v>0</v>
      </c>
      <c r="AV16" s="49">
        <f t="shared" si="5"/>
        <v>0</v>
      </c>
      <c r="AW16" s="53">
        <v>1</v>
      </c>
      <c r="AX16" s="56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</row>
    <row r="17" s="3" customFormat="1" ht="14.25" customHeight="1" spans="1:66">
      <c r="A17" s="24">
        <f>IF([1]PHEPNAM!A18="","",[1]PHEPNAM!A18)</f>
        <v>8</v>
      </c>
      <c r="B17" s="25" t="str">
        <f>IF(AND([1]PHEPNAM!E18="",[1]PHEPNAM!Y18="@"),"",IF(AND([1]PHEPNAM!C18="",[1]PHEPNAM!Y18=2),2,[1]PHEPNAM!C18))</f>
        <v>BTGĐTRẦN THỊ MINH M</v>
      </c>
      <c r="C17" s="25" t="str">
        <f>IF([1]PHEPNAM!E18="","",[1]PHEPNAM!E18)</f>
        <v>TRẦN THỊ MINH M</v>
      </c>
      <c r="D17" s="26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43">
        <f t="shared" si="2"/>
        <v>25</v>
      </c>
      <c r="AJ17" s="43">
        <f>IF($C17="","",COUNTIF($D17:$AH17,[1]DATA!$F$6)+COUNTIF($D17:$AH17,[1]DATA!$F$15)/2)</f>
        <v>0</v>
      </c>
      <c r="AK17" s="43">
        <f>IF($C17="","",COUNTIF($D17:$AH17,[1]DATA!$F$7)+COUNTIF($D17:$AH17,[1]DATA!$F$16)/2)</f>
        <v>0</v>
      </c>
      <c r="AL17" s="44">
        <f>IF($C17="","",(COUNTIF($D17:$AH17,[1]DATA!$F$8)+COUNTIF($D17:$AH17,[1]DATA!$F$17)/2)+COUNTIF($D17:$AH17,[1]DATA!$F$26)*2+COUNTIF($D17:$AH17,[1]DATA!$F$27)*3-AM17)</f>
        <v>0</v>
      </c>
      <c r="AM17" s="44">
        <f t="shared" si="3"/>
        <v>0</v>
      </c>
      <c r="AN17" s="43">
        <f>IF($C17="","",COUNTIF($D17:$AH17,[1]DATA!$F$9)+COUNTIF($D17:$AH17,[1]DATA!$F$18)/2)</f>
        <v>0</v>
      </c>
      <c r="AO17" s="43">
        <f>IF($C17="","",COUNTIF($D17:$AH17,[1]DATA!$F$10)+COUNTIF($D17:$AH17,[1]DATA!$F$19)/2)</f>
        <v>0</v>
      </c>
      <c r="AP17" s="43">
        <f>IF($C17="","",COUNTIF($D17:$AH17,[1]DATA!$F$11)+COUNTIF($D17:$AH17,[1]DATA!$F$20)/2)</f>
        <v>0</v>
      </c>
      <c r="AQ17" s="43">
        <f>IF($C17="","",COUNTIF($D17:$AH17,[1]DATA!$F$12)+COUNTIF($D17:$AH17,[1]DATA!$F$21)/2)</f>
        <v>0</v>
      </c>
      <c r="AR17" s="43">
        <f>IF($C17="","",COUNTIF($D17:$AH17,[1]DATA!$F$13)+COUNTIF($D17:$AH17,[1]DATA!$F$22)/2)</f>
        <v>0</v>
      </c>
      <c r="AS17" s="43">
        <f>IF($C17="","",COUNTIF($D17:$AH17,[1]DATA!$F$14)+COUNTIF($D17:$AH17,[1]DATA!$F$23)/2)</f>
        <v>0</v>
      </c>
      <c r="AT17" s="43">
        <f>IF($C17="","",COUNTIF($D17:$AH17,[1]DATA!$F$24)+COUNTIF($D17:$AH17,[1]DATA!$F$25)/2)</f>
        <v>0</v>
      </c>
      <c r="AU17" s="49">
        <f t="shared" si="4"/>
        <v>0</v>
      </c>
      <c r="AV17" s="49">
        <f t="shared" si="5"/>
        <v>0</v>
      </c>
      <c r="AW17" s="53">
        <v>1</v>
      </c>
      <c r="AX17" s="54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</row>
    <row r="18" s="3" customFormat="1" ht="14.25" customHeight="1" spans="1:66">
      <c r="A18" s="24" t="str">
        <f>IF([1]PHEPNAM!A19="","",[1]PHEPNAM!A19)</f>
        <v/>
      </c>
      <c r="B18" s="25" t="str">
        <f>IF(AND([1]PHEPNAM!E19="",[1]PHEPNAM!Y19="@"),"",IF(AND([1]PHEPNAM!C19="",[1]PHEPNAM!Y19=2),2,[1]PHEPNAM!C19))</f>
        <v/>
      </c>
      <c r="C18" s="25" t="str">
        <f>IF([1]PHEPNAM!E19="","",[1]PHEPNAM!E19)</f>
        <v/>
      </c>
      <c r="D18" s="26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43" t="str">
        <f t="shared" si="2"/>
        <v/>
      </c>
      <c r="AJ18" s="43" t="str">
        <f>IF($C18="","",COUNTIF($D18:$AH18,[1]DATA!$F$6)+COUNTIF($D18:$AH18,[1]DATA!$F$15)/2)</f>
        <v/>
      </c>
      <c r="AK18" s="43" t="str">
        <f>IF($C18="","",COUNTIF($D18:$AH18,[1]DATA!$F$7)+COUNTIF($D18:$AH18,[1]DATA!$F$16)/2)</f>
        <v/>
      </c>
      <c r="AL18" s="44" t="str">
        <f>IF($C18="","",(COUNTIF($D18:$AH18,[1]DATA!$F$8)+COUNTIF($D18:$AH18,[1]DATA!$F$17)/2)+COUNTIF($D18:$AH18,[1]DATA!$F$26)*2+COUNTIF($D18:$AH18,[1]DATA!$F$27)*3-AM18)</f>
        <v/>
      </c>
      <c r="AM18" s="44" t="str">
        <f t="shared" si="3"/>
        <v/>
      </c>
      <c r="AN18" s="43" t="str">
        <f>IF($C18="","",COUNTIF($D18:$AH18,[1]DATA!$F$9)+COUNTIF($D18:$AH18,[1]DATA!$F$18)/2)</f>
        <v/>
      </c>
      <c r="AO18" s="43" t="str">
        <f>IF($C18="","",COUNTIF($D18:$AH18,[1]DATA!$F$10)+COUNTIF($D18:$AH18,[1]DATA!$F$19)/2)</f>
        <v/>
      </c>
      <c r="AP18" s="43" t="str">
        <f>IF($C18="","",COUNTIF($D18:$AH18,[1]DATA!$F$11)+COUNTIF($D18:$AH18,[1]DATA!$F$20)/2)</f>
        <v/>
      </c>
      <c r="AQ18" s="43" t="str">
        <f>IF($C18="","",COUNTIF($D18:$AH18,[1]DATA!$F$12)+COUNTIF($D18:$AH18,[1]DATA!$F$21)/2)</f>
        <v/>
      </c>
      <c r="AR18" s="43" t="str">
        <f>IF($C18="","",COUNTIF($D18:$AH18,[1]DATA!$F$13)+COUNTIF($D18:$AH18,[1]DATA!$F$22)/2)</f>
        <v/>
      </c>
      <c r="AS18" s="43" t="str">
        <f>IF($C18="","",COUNTIF($D18:$AH18,[1]DATA!$F$14)+COUNTIF($D18:$AH18,[1]DATA!$F$23)/2)</f>
        <v/>
      </c>
      <c r="AT18" s="43" t="str">
        <f>IF($C18="","",COUNTIF($D18:$AH18,[1]DATA!$F$24)+COUNTIF($D18:$AH18,[1]DATA!$F$25)/2)</f>
        <v/>
      </c>
      <c r="AU18" s="49" t="str">
        <f t="shared" si="4"/>
        <v/>
      </c>
      <c r="AV18" s="49" t="str">
        <f t="shared" si="5"/>
        <v/>
      </c>
      <c r="AW18" s="53"/>
      <c r="AX18" s="57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</row>
    <row r="19" s="3" customFormat="1" ht="14.25" customHeight="1" spans="1:66">
      <c r="A19" s="24" t="str">
        <f>IF([1]PHEPNAM!A20="","",[1]PHEPNAM!A20)</f>
        <v/>
      </c>
      <c r="B19" s="25" t="str">
        <f>IF(AND([1]PHEPNAM!E20="",[1]PHEPNAM!Y20="@"),"",IF(AND([1]PHEPNAM!C20="",[1]PHEPNAM!Y20=2),2,[1]PHEPNAM!C20))</f>
        <v/>
      </c>
      <c r="C19" s="25" t="str">
        <f>IF([1]PHEPNAM!E20="","",[1]PHEPNAM!E20)</f>
        <v/>
      </c>
      <c r="D19" s="26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43" t="str">
        <f t="shared" si="2"/>
        <v/>
      </c>
      <c r="AJ19" s="43" t="str">
        <f>IF($C19="","",COUNTIF($D19:$AH19,[1]DATA!$F$6)+COUNTIF($D19:$AH19,[1]DATA!$F$15)/2)</f>
        <v/>
      </c>
      <c r="AK19" s="43" t="str">
        <f>IF($C19="","",COUNTIF($D19:$AH19,[1]DATA!$F$7)+COUNTIF($D19:$AH19,[1]DATA!$F$16)/2)</f>
        <v/>
      </c>
      <c r="AL19" s="44" t="str">
        <f>IF($C19="","",(COUNTIF($D19:$AH19,[1]DATA!$F$8)+COUNTIF($D19:$AH19,[1]DATA!$F$17)/2)+COUNTIF($D19:$AH19,[1]DATA!$F$26)*2+COUNTIF($D19:$AH19,[1]DATA!$F$27)*3-AM19)</f>
        <v/>
      </c>
      <c r="AM19" s="44" t="str">
        <f t="shared" si="3"/>
        <v/>
      </c>
      <c r="AN19" s="43" t="str">
        <f>IF($C19="","",COUNTIF($D19:$AH19,[1]DATA!$F$9)+COUNTIF($D19:$AH19,[1]DATA!$F$18)/2)</f>
        <v/>
      </c>
      <c r="AO19" s="43" t="str">
        <f>IF($C19="","",COUNTIF($D19:$AH19,[1]DATA!$F$10)+COUNTIF($D19:$AH19,[1]DATA!$F$19)/2)</f>
        <v/>
      </c>
      <c r="AP19" s="43" t="str">
        <f>IF($C19="","",COUNTIF($D19:$AH19,[1]DATA!$F$11)+COUNTIF($D19:$AH19,[1]DATA!$F$20)/2)</f>
        <v/>
      </c>
      <c r="AQ19" s="43" t="str">
        <f>IF($C19="","",COUNTIF($D19:$AH19,[1]DATA!$F$12)+COUNTIF($D19:$AH19,[1]DATA!$F$21)/2)</f>
        <v/>
      </c>
      <c r="AR19" s="43" t="str">
        <f>IF($C19="","",COUNTIF($D19:$AH19,[1]DATA!$F$13)+COUNTIF($D19:$AH19,[1]DATA!$F$22)/2)</f>
        <v/>
      </c>
      <c r="AS19" s="43" t="str">
        <f>IF($C19="","",COUNTIF($D19:$AH19,[1]DATA!$F$14)+COUNTIF($D19:$AH19,[1]DATA!$F$23)/2)</f>
        <v/>
      </c>
      <c r="AT19" s="43" t="str">
        <f>IF($C19="","",COUNTIF($D19:$AH19,[1]DATA!$F$24)+COUNTIF($D19:$AH19,[1]DATA!$F$25)/2)</f>
        <v/>
      </c>
      <c r="AU19" s="49" t="str">
        <f t="shared" si="4"/>
        <v/>
      </c>
      <c r="AV19" s="49" t="str">
        <f t="shared" si="5"/>
        <v/>
      </c>
      <c r="AW19" s="53"/>
      <c r="AX19" s="54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</row>
    <row r="20" s="3" customFormat="1" ht="14.25" customHeight="1" spans="1:66">
      <c r="A20" s="24" t="str">
        <f>IF([1]PHEPNAM!A21="","",[1]PHEPNAM!A21)</f>
        <v/>
      </c>
      <c r="B20" s="25" t="str">
        <f>IF(AND([1]PHEPNAM!E21="",[1]PHEPNAM!Y21="@"),"",IF(AND([1]PHEPNAM!C21="",[1]PHEPNAM!Y21=2),2,[1]PHEPNAM!C21))</f>
        <v/>
      </c>
      <c r="C20" s="25" t="str">
        <f>IF([1]PHEPNAM!E21="","",[1]PHEPNAM!E21)</f>
        <v/>
      </c>
      <c r="D20" s="26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43" t="str">
        <f t="shared" si="2"/>
        <v/>
      </c>
      <c r="AJ20" s="43" t="str">
        <f>IF($C20="","",COUNTIF($D20:$AH20,[1]DATA!$F$6)+COUNTIF($D20:$AH20,[1]DATA!$F$15)/2)</f>
        <v/>
      </c>
      <c r="AK20" s="43" t="str">
        <f>IF($C20="","",COUNTIF($D20:$AH20,[1]DATA!$F$7)+COUNTIF($D20:$AH20,[1]DATA!$F$16)/2)</f>
        <v/>
      </c>
      <c r="AL20" s="44" t="str">
        <f>IF($C20="","",(COUNTIF($D20:$AH20,[1]DATA!$F$8)+COUNTIF($D20:$AH20,[1]DATA!$F$17)/2)+COUNTIF($D20:$AH20,[1]DATA!$F$26)*2+COUNTIF($D20:$AH20,[1]DATA!$F$27)*3-AM20)</f>
        <v/>
      </c>
      <c r="AM20" s="44" t="str">
        <f t="shared" si="3"/>
        <v/>
      </c>
      <c r="AN20" s="43" t="str">
        <f>IF($C20="","",COUNTIF($D20:$AH20,[1]DATA!$F$9)+COUNTIF($D20:$AH20,[1]DATA!$F$18)/2)</f>
        <v/>
      </c>
      <c r="AO20" s="43" t="str">
        <f>IF($C20="","",COUNTIF($D20:$AH20,[1]DATA!$F$10)+COUNTIF($D20:$AH20,[1]DATA!$F$19)/2)</f>
        <v/>
      </c>
      <c r="AP20" s="43" t="str">
        <f>IF($C20="","",COUNTIF($D20:$AH20,[1]DATA!$F$11)+COUNTIF($D20:$AH20,[1]DATA!$F$20)/2)</f>
        <v/>
      </c>
      <c r="AQ20" s="43" t="str">
        <f>IF($C20="","",COUNTIF($D20:$AH20,[1]DATA!$F$12)+COUNTIF($D20:$AH20,[1]DATA!$F$21)/2)</f>
        <v/>
      </c>
      <c r="AR20" s="43" t="str">
        <f>IF($C20="","",COUNTIF($D20:$AH20,[1]DATA!$F$13)+COUNTIF($D20:$AH20,[1]DATA!$F$22)/2)</f>
        <v/>
      </c>
      <c r="AS20" s="43" t="str">
        <f>IF($C20="","",COUNTIF($D20:$AH20,[1]DATA!$F$14)+COUNTIF($D20:$AH20,[1]DATA!$F$23)/2)</f>
        <v/>
      </c>
      <c r="AT20" s="43" t="str">
        <f>IF($C20="","",COUNTIF($D20:$AH20,[1]DATA!$F$24)+COUNTIF($D20:$AH20,[1]DATA!$F$25)/2)</f>
        <v/>
      </c>
      <c r="AU20" s="49" t="str">
        <f t="shared" si="4"/>
        <v/>
      </c>
      <c r="AV20" s="49" t="str">
        <f t="shared" si="5"/>
        <v/>
      </c>
      <c r="AW20" s="53"/>
      <c r="AX20" s="54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</row>
    <row r="21" s="3" customFormat="1" ht="14.25" customHeight="1" spans="1:66">
      <c r="A21" s="24" t="str">
        <f>IF([1]PHEPNAM!A22="","",[1]PHEPNAM!A22)</f>
        <v/>
      </c>
      <c r="B21" s="25" t="str">
        <f>IF(AND([1]PHEPNAM!E22="",[1]PHEPNAM!Y22="@"),"",IF(AND([1]PHEPNAM!C22="",[1]PHEPNAM!Y22=2),2,[1]PHEPNAM!C22))</f>
        <v/>
      </c>
      <c r="C21" s="25" t="str">
        <f>IF([1]PHEPNAM!E22="","",[1]PHEPNAM!E22)</f>
        <v/>
      </c>
      <c r="D21" s="26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43" t="str">
        <f t="shared" si="2"/>
        <v/>
      </c>
      <c r="AJ21" s="43" t="str">
        <f>IF($C21="","",COUNTIF($D21:$AH21,[1]DATA!$F$6)+COUNTIF($D21:$AH21,[1]DATA!$F$15)/2)</f>
        <v/>
      </c>
      <c r="AK21" s="43" t="str">
        <f>IF($C21="","",COUNTIF($D21:$AH21,[1]DATA!$F$7)+COUNTIF($D21:$AH21,[1]DATA!$F$16)/2)</f>
        <v/>
      </c>
      <c r="AL21" s="44" t="str">
        <f>IF($C21="","",(COUNTIF($D21:$AH21,[1]DATA!$F$8)+COUNTIF($D21:$AH21,[1]DATA!$F$17)/2)+COUNTIF($D21:$AH21,[1]DATA!$F$26)*2+COUNTIF($D21:$AH21,[1]DATA!$F$27)*3-AM21)</f>
        <v/>
      </c>
      <c r="AM21" s="44" t="str">
        <f t="shared" si="3"/>
        <v/>
      </c>
      <c r="AN21" s="43" t="str">
        <f>IF($C21="","",COUNTIF($D21:$AH21,[1]DATA!$F$9)+COUNTIF($D21:$AH21,[1]DATA!$F$18)/2)</f>
        <v/>
      </c>
      <c r="AO21" s="43" t="str">
        <f>IF($C21="","",COUNTIF($D21:$AH21,[1]DATA!$F$10)+COUNTIF($D21:$AH21,[1]DATA!$F$19)/2)</f>
        <v/>
      </c>
      <c r="AP21" s="43" t="str">
        <f>IF($C21="","",COUNTIF($D21:$AH21,[1]DATA!$F$11)+COUNTIF($D21:$AH21,[1]DATA!$F$20)/2)</f>
        <v/>
      </c>
      <c r="AQ21" s="43" t="str">
        <f>IF($C21="","",COUNTIF($D21:$AH21,[1]DATA!$F$12)+COUNTIF($D21:$AH21,[1]DATA!$F$21)/2)</f>
        <v/>
      </c>
      <c r="AR21" s="43" t="str">
        <f>IF($C21="","",COUNTIF($D21:$AH21,[1]DATA!$F$13)+COUNTIF($D21:$AH21,[1]DATA!$F$22)/2)</f>
        <v/>
      </c>
      <c r="AS21" s="43" t="str">
        <f>IF($C21="","",COUNTIF($D21:$AH21,[1]DATA!$F$14)+COUNTIF($D21:$AH21,[1]DATA!$F$23)/2)</f>
        <v/>
      </c>
      <c r="AT21" s="43" t="str">
        <f>IF($C21="","",COUNTIF($D21:$AH21,[1]DATA!$F$24)+COUNTIF($D21:$AH21,[1]DATA!$F$25)/2)</f>
        <v/>
      </c>
      <c r="AU21" s="49" t="str">
        <f t="shared" si="4"/>
        <v/>
      </c>
      <c r="AV21" s="49" t="str">
        <f t="shared" si="5"/>
        <v/>
      </c>
      <c r="AW21" s="53"/>
      <c r="AX21" s="54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</row>
    <row r="22" s="3" customFormat="1" ht="14.25" customHeight="1" spans="1:66">
      <c r="A22" s="24" t="str">
        <f>IF([1]PHEPNAM!A23="","",[1]PHEPNAM!A23)</f>
        <v/>
      </c>
      <c r="B22" s="25" t="str">
        <f>IF(AND([1]PHEPNAM!E23="",[1]PHEPNAM!Y23="@"),"",IF(AND([1]PHEPNAM!C23="",[1]PHEPNAM!Y23=2),2,[1]PHEPNAM!C23))</f>
        <v/>
      </c>
      <c r="C22" s="25" t="str">
        <f>IF([1]PHEPNAM!E23="","",[1]PHEPNAM!E23)</f>
        <v/>
      </c>
      <c r="D22" s="26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43" t="str">
        <f t="shared" si="2"/>
        <v/>
      </c>
      <c r="AJ22" s="43" t="str">
        <f>IF($C22="","",COUNTIF($D22:$AH22,[1]DATA!$F$6)+COUNTIF($D22:$AH22,[1]DATA!$F$15)/2)</f>
        <v/>
      </c>
      <c r="AK22" s="43" t="str">
        <f>IF($C22="","",COUNTIF($D22:$AH22,[1]DATA!$F$7)+COUNTIF($D22:$AH22,[1]DATA!$F$16)/2)</f>
        <v/>
      </c>
      <c r="AL22" s="44" t="str">
        <f>IF($C22="","",(COUNTIF($D22:$AH22,[1]DATA!$F$8)+COUNTIF($D22:$AH22,[1]DATA!$F$17)/2)+COUNTIF($D22:$AH22,[1]DATA!$F$26)*2+COUNTIF($D22:$AH22,[1]DATA!$F$27)*3-AM22)</f>
        <v/>
      </c>
      <c r="AM22" s="44" t="str">
        <f t="shared" si="3"/>
        <v/>
      </c>
      <c r="AN22" s="43" t="str">
        <f>IF($C22="","",COUNTIF($D22:$AH22,[1]DATA!$F$9)+COUNTIF($D22:$AH22,[1]DATA!$F$18)/2)</f>
        <v/>
      </c>
      <c r="AO22" s="43" t="str">
        <f>IF($C22="","",COUNTIF($D22:$AH22,[1]DATA!$F$10)+COUNTIF($D22:$AH22,[1]DATA!$F$19)/2)</f>
        <v/>
      </c>
      <c r="AP22" s="43" t="str">
        <f>IF($C22="","",COUNTIF($D22:$AH22,[1]DATA!$F$11)+COUNTIF($D22:$AH22,[1]DATA!$F$20)/2)</f>
        <v/>
      </c>
      <c r="AQ22" s="43" t="str">
        <f>IF($C22="","",COUNTIF($D22:$AH22,[1]DATA!$F$12)+COUNTIF($D22:$AH22,[1]DATA!$F$21)/2)</f>
        <v/>
      </c>
      <c r="AR22" s="43" t="str">
        <f>IF($C22="","",COUNTIF($D22:$AH22,[1]DATA!$F$13)+COUNTIF($D22:$AH22,[1]DATA!$F$22)/2)</f>
        <v/>
      </c>
      <c r="AS22" s="43" t="str">
        <f>IF($C22="","",COUNTIF($D22:$AH22,[1]DATA!$F$14)+COUNTIF($D22:$AH22,[1]DATA!$F$23)/2)</f>
        <v/>
      </c>
      <c r="AT22" s="43" t="str">
        <f>IF($C22="","",COUNTIF($D22:$AH22,[1]DATA!$F$24)+COUNTIF($D22:$AH22,[1]DATA!$F$25)/2)</f>
        <v/>
      </c>
      <c r="AU22" s="49" t="str">
        <f t="shared" si="4"/>
        <v/>
      </c>
      <c r="AV22" s="49" t="str">
        <f t="shared" si="5"/>
        <v/>
      </c>
      <c r="AW22" s="53"/>
      <c r="AX22" s="56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</row>
    <row r="23" s="3" customFormat="1" ht="14.25" customHeight="1" spans="1:66">
      <c r="A23" s="24" t="str">
        <f>IF([1]PHEPNAM!A24="","",[1]PHEPNAM!A24)</f>
        <v/>
      </c>
      <c r="B23" s="25" t="str">
        <f>IF(AND([1]PHEPNAM!E24="",[1]PHEPNAM!Y24="@"),"",IF(AND([1]PHEPNAM!C24="",[1]PHEPNAM!Y24=2),2,[1]PHEPNAM!C24))</f>
        <v/>
      </c>
      <c r="C23" s="25" t="str">
        <f>IF([1]PHEPNAM!E24="","",[1]PHEPNAM!E24)</f>
        <v/>
      </c>
      <c r="D23" s="26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43" t="str">
        <f t="shared" si="2"/>
        <v/>
      </c>
      <c r="AJ23" s="43" t="str">
        <f>IF($C23="","",COUNTIF($D23:$AH23,[1]DATA!$F$6)+COUNTIF($D23:$AH23,[1]DATA!$F$15)/2)</f>
        <v/>
      </c>
      <c r="AK23" s="43" t="str">
        <f>IF($C23="","",COUNTIF($D23:$AH23,[1]DATA!$F$7)+COUNTIF($D23:$AH23,[1]DATA!$F$16)/2)</f>
        <v/>
      </c>
      <c r="AL23" s="44" t="str">
        <f>IF($C23="","",(COUNTIF($D23:$AH23,[1]DATA!$F$8)+COUNTIF($D23:$AH23,[1]DATA!$F$17)/2)+COUNTIF($D23:$AH23,[1]DATA!$F$26)*2+COUNTIF($D23:$AH23,[1]DATA!$F$27)*3-AM23)</f>
        <v/>
      </c>
      <c r="AM23" s="44" t="str">
        <f t="shared" si="3"/>
        <v/>
      </c>
      <c r="AN23" s="43" t="str">
        <f>IF($C23="","",COUNTIF($D23:$AH23,[1]DATA!$F$9)+COUNTIF($D23:$AH23,[1]DATA!$F$18)/2)</f>
        <v/>
      </c>
      <c r="AO23" s="43" t="str">
        <f>IF($C23="","",COUNTIF($D23:$AH23,[1]DATA!$F$10)+COUNTIF($D23:$AH23,[1]DATA!$F$19)/2)</f>
        <v/>
      </c>
      <c r="AP23" s="43" t="str">
        <f>IF($C23="","",COUNTIF($D23:$AH23,[1]DATA!$F$11)+COUNTIF($D23:$AH23,[1]DATA!$F$20)/2)</f>
        <v/>
      </c>
      <c r="AQ23" s="43" t="str">
        <f>IF($C23="","",COUNTIF($D23:$AH23,[1]DATA!$F$12)+COUNTIF($D23:$AH23,[1]DATA!$F$21)/2)</f>
        <v/>
      </c>
      <c r="AR23" s="43" t="str">
        <f>IF($C23="","",COUNTIF($D23:$AH23,[1]DATA!$F$13)+COUNTIF($D23:$AH23,[1]DATA!$F$22)/2)</f>
        <v/>
      </c>
      <c r="AS23" s="43" t="str">
        <f>IF($C23="","",COUNTIF($D23:$AH23,[1]DATA!$F$14)+COUNTIF($D23:$AH23,[1]DATA!$F$23)/2)</f>
        <v/>
      </c>
      <c r="AT23" s="43" t="str">
        <f>IF($C23="","",COUNTIF($D23:$AH23,[1]DATA!$F$24)+COUNTIF($D23:$AH23,[1]DATA!$F$25)/2)</f>
        <v/>
      </c>
      <c r="AU23" s="49" t="str">
        <f t="shared" si="4"/>
        <v/>
      </c>
      <c r="AV23" s="49" t="str">
        <f t="shared" si="5"/>
        <v/>
      </c>
      <c r="AW23" s="53"/>
      <c r="AX23" s="56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</row>
    <row r="24" s="3" customFormat="1" ht="14.25" customHeight="1" spans="1:66">
      <c r="A24" s="24" t="str">
        <f>IF([1]PHEPNAM!A25="","",[1]PHEPNAM!A25)</f>
        <v/>
      </c>
      <c r="B24" s="25" t="str">
        <f>IF(AND([1]PHEPNAM!E25="",[1]PHEPNAM!Y25="@"),"",IF(AND([1]PHEPNAM!C25="",[1]PHEPNAM!Y25=2),2,[1]PHEPNAM!C25))</f>
        <v/>
      </c>
      <c r="C24" s="25" t="str">
        <f>IF([1]PHEPNAM!E25="","",[1]PHEPNAM!E25)</f>
        <v/>
      </c>
      <c r="D24" s="26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43" t="str">
        <f t="shared" si="2"/>
        <v/>
      </c>
      <c r="AJ24" s="43" t="str">
        <f>IF($C24="","",COUNTIF($D24:$AH24,[1]DATA!$F$6)+COUNTIF($D24:$AH24,[1]DATA!$F$15)/2)</f>
        <v/>
      </c>
      <c r="AK24" s="43" t="str">
        <f>IF($C24="","",COUNTIF($D24:$AH24,[1]DATA!$F$7)+COUNTIF($D24:$AH24,[1]DATA!$F$16)/2)</f>
        <v/>
      </c>
      <c r="AL24" s="44" t="str">
        <f>IF($C24="","",(COUNTIF($D24:$AH24,[1]DATA!$F$8)+COUNTIF($D24:$AH24,[1]DATA!$F$17)/2)+COUNTIF($D24:$AH24,[1]DATA!$F$26)*2+COUNTIF($D24:$AH24,[1]DATA!$F$27)*3-AM24)</f>
        <v/>
      </c>
      <c r="AM24" s="44" t="str">
        <f t="shared" si="3"/>
        <v/>
      </c>
      <c r="AN24" s="43" t="str">
        <f>IF($C24="","",COUNTIF($D24:$AH24,[1]DATA!$F$9)+COUNTIF($D24:$AH24,[1]DATA!$F$18)/2)</f>
        <v/>
      </c>
      <c r="AO24" s="43" t="str">
        <f>IF($C24="","",COUNTIF($D24:$AH24,[1]DATA!$F$10)+COUNTIF($D24:$AH24,[1]DATA!$F$19)/2)</f>
        <v/>
      </c>
      <c r="AP24" s="43" t="str">
        <f>IF($C24="","",COUNTIF($D24:$AH24,[1]DATA!$F$11)+COUNTIF($D24:$AH24,[1]DATA!$F$20)/2)</f>
        <v/>
      </c>
      <c r="AQ24" s="43" t="str">
        <f>IF($C24="","",COUNTIF($D24:$AH24,[1]DATA!$F$12)+COUNTIF($D24:$AH24,[1]DATA!$F$21)/2)</f>
        <v/>
      </c>
      <c r="AR24" s="43" t="str">
        <f>IF($C24="","",COUNTIF($D24:$AH24,[1]DATA!$F$13)+COUNTIF($D24:$AH24,[1]DATA!$F$22)/2)</f>
        <v/>
      </c>
      <c r="AS24" s="43" t="str">
        <f>IF($C24="","",COUNTIF($D24:$AH24,[1]DATA!$F$14)+COUNTIF($D24:$AH24,[1]DATA!$F$23)/2)</f>
        <v/>
      </c>
      <c r="AT24" s="43" t="str">
        <f>IF($C24="","",COUNTIF($D24:$AH24,[1]DATA!$F$24)+COUNTIF($D24:$AH24,[1]DATA!$F$25)/2)</f>
        <v/>
      </c>
      <c r="AU24" s="49" t="str">
        <f t="shared" si="4"/>
        <v/>
      </c>
      <c r="AV24" s="49" t="str">
        <f t="shared" si="5"/>
        <v/>
      </c>
      <c r="AW24" s="53"/>
      <c r="AX24" s="56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</row>
    <row r="25" s="3" customFormat="1" ht="14.25" customHeight="1" spans="1:66">
      <c r="A25" s="24" t="str">
        <f>IF([1]PHEPNAM!A26="","",[1]PHEPNAM!A26)</f>
        <v/>
      </c>
      <c r="B25" s="25" t="str">
        <f>IF(AND([1]PHEPNAM!E26="",[1]PHEPNAM!Y26="@"),"",IF(AND([1]PHEPNAM!C26="",[1]PHEPNAM!Y26=2),2,[1]PHEPNAM!C26))</f>
        <v/>
      </c>
      <c r="C25" s="25" t="str">
        <f>IF([1]PHEPNAM!E26="","",[1]PHEPNAM!E26)</f>
        <v/>
      </c>
      <c r="D25" s="26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43" t="str">
        <f t="shared" si="2"/>
        <v/>
      </c>
      <c r="AJ25" s="43" t="str">
        <f>IF($C25="","",COUNTIF($D25:$AH25,[1]DATA!$F$6)+COUNTIF($D25:$AH25,[1]DATA!$F$15)/2)</f>
        <v/>
      </c>
      <c r="AK25" s="43" t="str">
        <f>IF($C25="","",COUNTIF($D25:$AH25,[1]DATA!$F$7)+COUNTIF($D25:$AH25,[1]DATA!$F$16)/2)</f>
        <v/>
      </c>
      <c r="AL25" s="44" t="str">
        <f>IF($C25="","",(COUNTIF($D25:$AH25,[1]DATA!$F$8)+COUNTIF($D25:$AH25,[1]DATA!$F$17)/2)+COUNTIF($D25:$AH25,[1]DATA!$F$26)*2+COUNTIF($D25:$AH25,[1]DATA!$F$27)*3-AM25)</f>
        <v/>
      </c>
      <c r="AM25" s="44" t="str">
        <f t="shared" si="3"/>
        <v/>
      </c>
      <c r="AN25" s="43" t="str">
        <f>IF($C25="","",COUNTIF($D25:$AH25,[1]DATA!$F$9)+COUNTIF($D25:$AH25,[1]DATA!$F$18)/2)</f>
        <v/>
      </c>
      <c r="AO25" s="43" t="str">
        <f>IF($C25="","",COUNTIF($D25:$AH25,[1]DATA!$F$10)+COUNTIF($D25:$AH25,[1]DATA!$F$19)/2)</f>
        <v/>
      </c>
      <c r="AP25" s="43" t="str">
        <f>IF($C25="","",COUNTIF($D25:$AH25,[1]DATA!$F$11)+COUNTIF($D25:$AH25,[1]DATA!$F$20)/2)</f>
        <v/>
      </c>
      <c r="AQ25" s="43" t="str">
        <f>IF($C25="","",COUNTIF($D25:$AH25,[1]DATA!$F$12)+COUNTIF($D25:$AH25,[1]DATA!$F$21)/2)</f>
        <v/>
      </c>
      <c r="AR25" s="43" t="str">
        <f>IF($C25="","",COUNTIF($D25:$AH25,[1]DATA!$F$13)+COUNTIF($D25:$AH25,[1]DATA!$F$22)/2)</f>
        <v/>
      </c>
      <c r="AS25" s="43" t="str">
        <f>IF($C25="","",COUNTIF($D25:$AH25,[1]DATA!$F$14)+COUNTIF($D25:$AH25,[1]DATA!$F$23)/2)</f>
        <v/>
      </c>
      <c r="AT25" s="43" t="str">
        <f>IF($C25="","",COUNTIF($D25:$AH25,[1]DATA!$F$24)+COUNTIF($D25:$AH25,[1]DATA!$F$25)/2)</f>
        <v/>
      </c>
      <c r="AU25" s="49" t="str">
        <f t="shared" si="4"/>
        <v/>
      </c>
      <c r="AV25" s="49" t="str">
        <f t="shared" si="5"/>
        <v/>
      </c>
      <c r="AW25" s="53"/>
      <c r="AX25" s="56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</row>
    <row r="26" s="3" customFormat="1" ht="14.25" customHeight="1" spans="1:66">
      <c r="A26" s="24" t="str">
        <f>IF([1]PHEPNAM!A27="","",[1]PHEPNAM!A27)</f>
        <v/>
      </c>
      <c r="B26" s="25" t="str">
        <f>IF(AND([1]PHEPNAM!E27="",[1]PHEPNAM!Y27="@"),"",IF(AND([1]PHEPNAM!C27="",[1]PHEPNAM!Y27=2),2,[1]PHEPNAM!C27))</f>
        <v/>
      </c>
      <c r="C26" s="25" t="str">
        <f>IF([1]PHEPNAM!E27="","",[1]PHEPNAM!E27)</f>
        <v/>
      </c>
      <c r="D26" s="26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43" t="str">
        <f t="shared" si="2"/>
        <v/>
      </c>
      <c r="AJ26" s="43" t="str">
        <f>IF($C26="","",COUNTIF($D26:$AH26,[1]DATA!$F$6)+COUNTIF($D26:$AH26,[1]DATA!$F$15)/2)</f>
        <v/>
      </c>
      <c r="AK26" s="43" t="str">
        <f>IF($C26="","",COUNTIF($D26:$AH26,[1]DATA!$F$7)+COUNTIF($D26:$AH26,[1]DATA!$F$16)/2)</f>
        <v/>
      </c>
      <c r="AL26" s="44" t="str">
        <f>IF($C26="","",(COUNTIF($D26:$AH26,[1]DATA!$F$8)+COUNTIF($D26:$AH26,[1]DATA!$F$17)/2)+COUNTIF($D26:$AH26,[1]DATA!$F$26)*2+COUNTIF($D26:$AH26,[1]DATA!$F$27)*3-AM26)</f>
        <v/>
      </c>
      <c r="AM26" s="44" t="str">
        <f t="shared" si="3"/>
        <v/>
      </c>
      <c r="AN26" s="43" t="str">
        <f>IF($C26="","",COUNTIF($D26:$AH26,[1]DATA!$F$9)+COUNTIF($D26:$AH26,[1]DATA!$F$18)/2)</f>
        <v/>
      </c>
      <c r="AO26" s="43" t="str">
        <f>IF($C26="","",COUNTIF($D26:$AH26,[1]DATA!$F$10)+COUNTIF($D26:$AH26,[1]DATA!$F$19)/2)</f>
        <v/>
      </c>
      <c r="AP26" s="43" t="str">
        <f>IF($C26="","",COUNTIF($D26:$AH26,[1]DATA!$F$11)+COUNTIF($D26:$AH26,[1]DATA!$F$20)/2)</f>
        <v/>
      </c>
      <c r="AQ26" s="43" t="str">
        <f>IF($C26="","",COUNTIF($D26:$AH26,[1]DATA!$F$12)+COUNTIF($D26:$AH26,[1]DATA!$F$21)/2)</f>
        <v/>
      </c>
      <c r="AR26" s="43" t="str">
        <f>IF($C26="","",COUNTIF($D26:$AH26,[1]DATA!$F$13)+COUNTIF($D26:$AH26,[1]DATA!$F$22)/2)</f>
        <v/>
      </c>
      <c r="AS26" s="43" t="str">
        <f>IF($C26="","",COUNTIF($D26:$AH26,[1]DATA!$F$14)+COUNTIF($D26:$AH26,[1]DATA!$F$23)/2)</f>
        <v/>
      </c>
      <c r="AT26" s="43" t="str">
        <f>IF($C26="","",COUNTIF($D26:$AH26,[1]DATA!$F$24)+COUNTIF($D26:$AH26,[1]DATA!$F$25)/2)</f>
        <v/>
      </c>
      <c r="AU26" s="49" t="str">
        <f t="shared" si="4"/>
        <v/>
      </c>
      <c r="AV26" s="49" t="str">
        <f t="shared" si="5"/>
        <v/>
      </c>
      <c r="AW26" s="53"/>
      <c r="AX26" s="56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</row>
    <row r="27" s="3" customFormat="1" ht="14.25" customHeight="1" spans="1:66">
      <c r="A27" s="24" t="str">
        <f>IF([1]PHEPNAM!A28="","",[1]PHEPNAM!A28)</f>
        <v/>
      </c>
      <c r="B27" s="25" t="str">
        <f>IF(AND([1]PHEPNAM!E28="",[1]PHEPNAM!Y28="@"),"",IF(AND([1]PHEPNAM!C28="",[1]PHEPNAM!Y28=2),2,[1]PHEPNAM!C28))</f>
        <v/>
      </c>
      <c r="C27" s="25" t="str">
        <f>IF([1]PHEPNAM!E28="","",[1]PHEPNAM!E28)</f>
        <v/>
      </c>
      <c r="D27" s="26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43" t="str">
        <f t="shared" si="2"/>
        <v/>
      </c>
      <c r="AJ27" s="43" t="str">
        <f>IF($C27="","",COUNTIF($D27:$AH27,[1]DATA!$F$6)+COUNTIF($D27:$AH27,[1]DATA!$F$15)/2)</f>
        <v/>
      </c>
      <c r="AK27" s="43" t="str">
        <f>IF($C27="","",COUNTIF($D27:$AH27,[1]DATA!$F$7)+COUNTIF($D27:$AH27,[1]DATA!$F$16)/2)</f>
        <v/>
      </c>
      <c r="AL27" s="44" t="str">
        <f>IF($C27="","",(COUNTIF($D27:$AH27,[1]DATA!$F$8)+COUNTIF($D27:$AH27,[1]DATA!$F$17)/2)+COUNTIF($D27:$AH27,[1]DATA!$F$26)*2+COUNTIF($D27:$AH27,[1]DATA!$F$27)*3-AM27)</f>
        <v/>
      </c>
      <c r="AM27" s="44" t="str">
        <f t="shared" si="3"/>
        <v/>
      </c>
      <c r="AN27" s="43" t="str">
        <f>IF($C27="","",COUNTIF($D27:$AH27,[1]DATA!$F$9)+COUNTIF($D27:$AH27,[1]DATA!$F$18)/2)</f>
        <v/>
      </c>
      <c r="AO27" s="43" t="str">
        <f>IF($C27="","",COUNTIF($D27:$AH27,[1]DATA!$F$10)+COUNTIF($D27:$AH27,[1]DATA!$F$19)/2)</f>
        <v/>
      </c>
      <c r="AP27" s="43" t="str">
        <f>IF($C27="","",COUNTIF($D27:$AH27,[1]DATA!$F$11)+COUNTIF($D27:$AH27,[1]DATA!$F$20)/2)</f>
        <v/>
      </c>
      <c r="AQ27" s="43" t="str">
        <f>IF($C27="","",COUNTIF($D27:$AH27,[1]DATA!$F$12)+COUNTIF($D27:$AH27,[1]DATA!$F$21)/2)</f>
        <v/>
      </c>
      <c r="AR27" s="43" t="str">
        <f>IF($C27="","",COUNTIF($D27:$AH27,[1]DATA!$F$13)+COUNTIF($D27:$AH27,[1]DATA!$F$22)/2)</f>
        <v/>
      </c>
      <c r="AS27" s="43" t="str">
        <f>IF($C27="","",COUNTIF($D27:$AH27,[1]DATA!$F$14)+COUNTIF($D27:$AH27,[1]DATA!$F$23)/2)</f>
        <v/>
      </c>
      <c r="AT27" s="43" t="str">
        <f>IF($C27="","",COUNTIF($D27:$AH27,[1]DATA!$F$24)+COUNTIF($D27:$AH27,[1]DATA!$F$25)/2)</f>
        <v/>
      </c>
      <c r="AU27" s="49" t="str">
        <f t="shared" si="4"/>
        <v/>
      </c>
      <c r="AV27" s="49" t="str">
        <f t="shared" si="5"/>
        <v/>
      </c>
      <c r="AW27" s="53"/>
      <c r="AX27" s="56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</row>
    <row r="28" s="3" customFormat="1" ht="14.25" customHeight="1" spans="1:66">
      <c r="A28" s="24" t="str">
        <f>IF([1]PHEPNAM!A29="","",[1]PHEPNAM!A29)</f>
        <v/>
      </c>
      <c r="B28" s="25" t="str">
        <f>IF(AND([1]PHEPNAM!E29="",[1]PHEPNAM!Y29="@"),"",IF(AND([1]PHEPNAM!C29="",[1]PHEPNAM!Y29=2),2,[1]PHEPNAM!C29))</f>
        <v/>
      </c>
      <c r="C28" s="25" t="str">
        <f>IF([1]PHEPNAM!E29="","",[1]PHEPNAM!E29)</f>
        <v/>
      </c>
      <c r="D28" s="26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43" t="str">
        <f t="shared" si="2"/>
        <v/>
      </c>
      <c r="AJ28" s="43" t="str">
        <f>IF($C28="","",COUNTIF($D28:$AH28,[1]DATA!$F$6)+COUNTIF($D28:$AH28,[1]DATA!$F$15)/2)</f>
        <v/>
      </c>
      <c r="AK28" s="43" t="str">
        <f>IF($C28="","",COUNTIF($D28:$AH28,[1]DATA!$F$7)+COUNTIF($D28:$AH28,[1]DATA!$F$16)/2)</f>
        <v/>
      </c>
      <c r="AL28" s="44" t="str">
        <f>IF($C28="","",(COUNTIF($D28:$AH28,[1]DATA!$F$8)+COUNTIF($D28:$AH28,[1]DATA!$F$17)/2)+COUNTIF($D28:$AH28,[1]DATA!$F$26)*2+COUNTIF($D28:$AH28,[1]DATA!$F$27)*3-AM28)</f>
        <v/>
      </c>
      <c r="AM28" s="44" t="str">
        <f t="shared" si="3"/>
        <v/>
      </c>
      <c r="AN28" s="43" t="str">
        <f>IF($C28="","",COUNTIF($D28:$AH28,[1]DATA!$F$9)+COUNTIF($D28:$AH28,[1]DATA!$F$18)/2)</f>
        <v/>
      </c>
      <c r="AO28" s="43" t="str">
        <f>IF($C28="","",COUNTIF($D28:$AH28,[1]DATA!$F$10)+COUNTIF($D28:$AH28,[1]DATA!$F$19)/2)</f>
        <v/>
      </c>
      <c r="AP28" s="43" t="str">
        <f>IF($C28="","",COUNTIF($D28:$AH28,[1]DATA!$F$11)+COUNTIF($D28:$AH28,[1]DATA!$F$20)/2)</f>
        <v/>
      </c>
      <c r="AQ28" s="43" t="str">
        <f>IF($C28="","",COUNTIF($D28:$AH28,[1]DATA!$F$12)+COUNTIF($D28:$AH28,[1]DATA!$F$21)/2)</f>
        <v/>
      </c>
      <c r="AR28" s="43" t="str">
        <f>IF($C28="","",COUNTIF($D28:$AH28,[1]DATA!$F$13)+COUNTIF($D28:$AH28,[1]DATA!$F$22)/2)</f>
        <v/>
      </c>
      <c r="AS28" s="43" t="str">
        <f>IF($C28="","",COUNTIF($D28:$AH28,[1]DATA!$F$14)+COUNTIF($D28:$AH28,[1]DATA!$F$23)/2)</f>
        <v/>
      </c>
      <c r="AT28" s="43" t="str">
        <f>IF($C28="","",COUNTIF($D28:$AH28,[1]DATA!$F$24)+COUNTIF($D28:$AH28,[1]DATA!$F$25)/2)</f>
        <v/>
      </c>
      <c r="AU28" s="49" t="str">
        <f t="shared" si="4"/>
        <v/>
      </c>
      <c r="AV28" s="49" t="str">
        <f t="shared" si="5"/>
        <v/>
      </c>
      <c r="AW28" s="53"/>
      <c r="AX28" s="56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</row>
    <row r="29" s="3" customFormat="1" ht="14.25" customHeight="1" spans="1:66">
      <c r="A29" s="24" t="str">
        <f>IF([1]PHEPNAM!A30="","",[1]PHEPNAM!A30)</f>
        <v/>
      </c>
      <c r="B29" s="25" t="str">
        <f>IF(AND([1]PHEPNAM!E30="",[1]PHEPNAM!Y30="@"),"",IF(AND([1]PHEPNAM!C30="",[1]PHEPNAM!Y30=2),2,[1]PHEPNAM!C30))</f>
        <v/>
      </c>
      <c r="C29" s="25" t="str">
        <f>IF([1]PHEPNAM!E30="","",[1]PHEPNAM!E30)</f>
        <v/>
      </c>
      <c r="D29" s="26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43" t="str">
        <f t="shared" si="2"/>
        <v/>
      </c>
      <c r="AJ29" s="43" t="str">
        <f>IF($C29="","",COUNTIF($D29:$AH29,[1]DATA!$F$6)+COUNTIF($D29:$AH29,[1]DATA!$F$15)/2)</f>
        <v/>
      </c>
      <c r="AK29" s="43" t="str">
        <f>IF($C29="","",COUNTIF($D29:$AH29,[1]DATA!$F$7)+COUNTIF($D29:$AH29,[1]DATA!$F$16)/2)</f>
        <v/>
      </c>
      <c r="AL29" s="44" t="str">
        <f>IF($C29="","",(COUNTIF($D29:$AH29,[1]DATA!$F$8)+COUNTIF($D29:$AH29,[1]DATA!$F$17)/2)+COUNTIF($D29:$AH29,[1]DATA!$F$26)*2+COUNTIF($D29:$AH29,[1]DATA!$F$27)*3-AM29)</f>
        <v/>
      </c>
      <c r="AM29" s="44" t="str">
        <f t="shared" si="3"/>
        <v/>
      </c>
      <c r="AN29" s="43" t="str">
        <f>IF($C29="","",COUNTIF($D29:$AH29,[1]DATA!$F$9)+COUNTIF($D29:$AH29,[1]DATA!$F$18)/2)</f>
        <v/>
      </c>
      <c r="AO29" s="43" t="str">
        <f>IF($C29="","",COUNTIF($D29:$AH29,[1]DATA!$F$10)+COUNTIF($D29:$AH29,[1]DATA!$F$19)/2)</f>
        <v/>
      </c>
      <c r="AP29" s="43" t="str">
        <f>IF($C29="","",COUNTIF($D29:$AH29,[1]DATA!$F$11)+COUNTIF($D29:$AH29,[1]DATA!$F$20)/2)</f>
        <v/>
      </c>
      <c r="AQ29" s="43" t="str">
        <f>IF($C29="","",COUNTIF($D29:$AH29,[1]DATA!$F$12)+COUNTIF($D29:$AH29,[1]DATA!$F$21)/2)</f>
        <v/>
      </c>
      <c r="AR29" s="43" t="str">
        <f>IF($C29="","",COUNTIF($D29:$AH29,[1]DATA!$F$13)+COUNTIF($D29:$AH29,[1]DATA!$F$22)/2)</f>
        <v/>
      </c>
      <c r="AS29" s="43" t="str">
        <f>IF($C29="","",COUNTIF($D29:$AH29,[1]DATA!$F$14)+COUNTIF($D29:$AH29,[1]DATA!$F$23)/2)</f>
        <v/>
      </c>
      <c r="AT29" s="43" t="str">
        <f>IF($C29="","",COUNTIF($D29:$AH29,[1]DATA!$F$24)+COUNTIF($D29:$AH29,[1]DATA!$F$25)/2)</f>
        <v/>
      </c>
      <c r="AU29" s="49" t="str">
        <f t="shared" si="4"/>
        <v/>
      </c>
      <c r="AV29" s="49" t="str">
        <f t="shared" si="5"/>
        <v/>
      </c>
      <c r="AW29" s="53"/>
      <c r="AX29" s="56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</row>
    <row r="30" s="3" customFormat="1" ht="14.25" customHeight="1" spans="1:66">
      <c r="A30" s="24" t="str">
        <f>IF([1]PHEPNAM!A31="","",[1]PHEPNAM!A31)</f>
        <v/>
      </c>
      <c r="B30" s="25" t="str">
        <f>IF(AND([1]PHEPNAM!E31="",[1]PHEPNAM!Y31="@"),"",IF(AND([1]PHEPNAM!C31="",[1]PHEPNAM!Y31=2),2,[1]PHEPNAM!C31))</f>
        <v/>
      </c>
      <c r="C30" s="25" t="str">
        <f>IF([1]PHEPNAM!E31="","",[1]PHEPNAM!E31)</f>
        <v/>
      </c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43" t="str">
        <f t="shared" si="2"/>
        <v/>
      </c>
      <c r="AJ30" s="43" t="str">
        <f>IF($C30="","",COUNTIF($D30:$AH30,[1]DATA!$F$6)+COUNTIF($D30:$AH30,[1]DATA!$F$15)/2)</f>
        <v/>
      </c>
      <c r="AK30" s="43" t="str">
        <f>IF($C30="","",COUNTIF($D30:$AH30,[1]DATA!$F$7)+COUNTIF($D30:$AH30,[1]DATA!$F$16)/2)</f>
        <v/>
      </c>
      <c r="AL30" s="44" t="str">
        <f>IF($C30="","",(COUNTIF($D30:$AH30,[1]DATA!$F$8)+COUNTIF($D30:$AH30,[1]DATA!$F$17)/2)+COUNTIF($D30:$AH30,[1]DATA!$F$26)*2+COUNTIF($D30:$AH30,[1]DATA!$F$27)*3-AM30)</f>
        <v/>
      </c>
      <c r="AM30" s="44" t="str">
        <f t="shared" si="3"/>
        <v/>
      </c>
      <c r="AN30" s="43" t="str">
        <f>IF($C30="","",COUNTIF($D30:$AH30,[1]DATA!$F$9)+COUNTIF($D30:$AH30,[1]DATA!$F$18)/2)</f>
        <v/>
      </c>
      <c r="AO30" s="43" t="str">
        <f>IF($C30="","",COUNTIF($D30:$AH30,[1]DATA!$F$10)+COUNTIF($D30:$AH30,[1]DATA!$F$19)/2)</f>
        <v/>
      </c>
      <c r="AP30" s="43" t="str">
        <f>IF($C30="","",COUNTIF($D30:$AH30,[1]DATA!$F$11)+COUNTIF($D30:$AH30,[1]DATA!$F$20)/2)</f>
        <v/>
      </c>
      <c r="AQ30" s="43" t="str">
        <f>IF($C30="","",COUNTIF($D30:$AH30,[1]DATA!$F$12)+COUNTIF($D30:$AH30,[1]DATA!$F$21)/2)</f>
        <v/>
      </c>
      <c r="AR30" s="43" t="str">
        <f>IF($C30="","",COUNTIF($D30:$AH30,[1]DATA!$F$13)+COUNTIF($D30:$AH30,[1]DATA!$F$22)/2)</f>
        <v/>
      </c>
      <c r="AS30" s="43" t="str">
        <f>IF($C30="","",COUNTIF($D30:$AH30,[1]DATA!$F$14)+COUNTIF($D30:$AH30,[1]DATA!$F$23)/2)</f>
        <v/>
      </c>
      <c r="AT30" s="43" t="str">
        <f>IF($C30="","",COUNTIF($D30:$AH30,[1]DATA!$F$24)+COUNTIF($D30:$AH30,[1]DATA!$F$25)/2)</f>
        <v/>
      </c>
      <c r="AU30" s="49" t="str">
        <f t="shared" si="4"/>
        <v/>
      </c>
      <c r="AV30" s="49" t="str">
        <f t="shared" si="5"/>
        <v/>
      </c>
      <c r="AW30" s="53"/>
      <c r="AX30" s="56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</row>
    <row r="31" s="3" customFormat="1" ht="14.25" customHeight="1" spans="1:66">
      <c r="A31" s="24" t="str">
        <f>IF([1]PHEPNAM!A32="","",[1]PHEPNAM!A32)</f>
        <v/>
      </c>
      <c r="B31" s="25" t="str">
        <f>IF(AND([1]PHEPNAM!E32="",[1]PHEPNAM!Y32="@"),"",IF(AND([1]PHEPNAM!C32="",[1]PHEPNAM!Y32=2),2,[1]PHEPNAM!C32))</f>
        <v/>
      </c>
      <c r="C31" s="25" t="str">
        <f>IF([1]PHEPNAM!E32="","",[1]PHEPNAM!E32)</f>
        <v/>
      </c>
      <c r="D31" s="26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43" t="str">
        <f t="shared" si="2"/>
        <v/>
      </c>
      <c r="AJ31" s="43" t="str">
        <f>IF($C31="","",COUNTIF($D31:$AH31,[1]DATA!$F$6)+COUNTIF($D31:$AH31,[1]DATA!$F$15)/2)</f>
        <v/>
      </c>
      <c r="AK31" s="43" t="str">
        <f>IF($C31="","",COUNTIF($D31:$AH31,[1]DATA!$F$7)+COUNTIF($D31:$AH31,[1]DATA!$F$16)/2)</f>
        <v/>
      </c>
      <c r="AL31" s="44" t="str">
        <f>IF($C31="","",(COUNTIF($D31:$AH31,[1]DATA!$F$8)+COUNTIF($D31:$AH31,[1]DATA!$F$17)/2)+COUNTIF($D31:$AH31,[1]DATA!$F$26)*2+COUNTIF($D31:$AH31,[1]DATA!$F$27)*3-AM31)</f>
        <v/>
      </c>
      <c r="AM31" s="44" t="str">
        <f t="shared" si="3"/>
        <v/>
      </c>
      <c r="AN31" s="43" t="str">
        <f>IF($C31="","",COUNTIF($D31:$AH31,[1]DATA!$F$9)+COUNTIF($D31:$AH31,[1]DATA!$F$18)/2)</f>
        <v/>
      </c>
      <c r="AO31" s="43" t="str">
        <f>IF($C31="","",COUNTIF($D31:$AH31,[1]DATA!$F$10)+COUNTIF($D31:$AH31,[1]DATA!$F$19)/2)</f>
        <v/>
      </c>
      <c r="AP31" s="43" t="str">
        <f>IF($C31="","",COUNTIF($D31:$AH31,[1]DATA!$F$11)+COUNTIF($D31:$AH31,[1]DATA!$F$20)/2)</f>
        <v/>
      </c>
      <c r="AQ31" s="43" t="str">
        <f>IF($C31="","",COUNTIF($D31:$AH31,[1]DATA!$F$12)+COUNTIF($D31:$AH31,[1]DATA!$F$21)/2)</f>
        <v/>
      </c>
      <c r="AR31" s="43" t="str">
        <f>IF($C31="","",COUNTIF($D31:$AH31,[1]DATA!$F$13)+COUNTIF($D31:$AH31,[1]DATA!$F$22)/2)</f>
        <v/>
      </c>
      <c r="AS31" s="43" t="str">
        <f>IF($C31="","",COUNTIF($D31:$AH31,[1]DATA!$F$14)+COUNTIF($D31:$AH31,[1]DATA!$F$23)/2)</f>
        <v/>
      </c>
      <c r="AT31" s="43" t="str">
        <f>IF($C31="","",COUNTIF($D31:$AH31,[1]DATA!$F$24)+COUNTIF($D31:$AH31,[1]DATA!$F$25)/2)</f>
        <v/>
      </c>
      <c r="AU31" s="49" t="str">
        <f t="shared" si="4"/>
        <v/>
      </c>
      <c r="AV31" s="49" t="str">
        <f t="shared" si="5"/>
        <v/>
      </c>
      <c r="AW31" s="53"/>
      <c r="AX31" s="56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</row>
    <row r="32" s="3" customFormat="1" ht="14.25" customHeight="1" spans="1:66">
      <c r="A32" s="24" t="str">
        <f>IF([1]PHEPNAM!A33="","",[1]PHEPNAM!A33)</f>
        <v/>
      </c>
      <c r="B32" s="25" t="str">
        <f>IF(AND([1]PHEPNAM!E33="",[1]PHEPNAM!Y33="@"),"",IF(AND([1]PHEPNAM!C33="",[1]PHEPNAM!Y33=2),2,[1]PHEPNAM!C33))</f>
        <v/>
      </c>
      <c r="C32" s="25" t="str">
        <f>IF([1]PHEPNAM!E33="","",[1]PHEPNAM!E33)</f>
        <v/>
      </c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43" t="str">
        <f t="shared" si="2"/>
        <v/>
      </c>
      <c r="AJ32" s="43" t="str">
        <f>IF($C32="","",COUNTIF($D32:$AH32,[1]DATA!$F$6)+COUNTIF($D32:$AH32,[1]DATA!$F$15)/2)</f>
        <v/>
      </c>
      <c r="AK32" s="43" t="str">
        <f>IF($C32="","",COUNTIF($D32:$AH32,[1]DATA!$F$7)+COUNTIF($D32:$AH32,[1]DATA!$F$16)/2)</f>
        <v/>
      </c>
      <c r="AL32" s="44" t="str">
        <f>IF($C32="","",(COUNTIF($D32:$AH32,[1]DATA!$F$8)+COUNTIF($D32:$AH32,[1]DATA!$F$17)/2)+COUNTIF($D32:$AH32,[1]DATA!$F$26)*2+COUNTIF($D32:$AH32,[1]DATA!$F$27)*3-AM32)</f>
        <v/>
      </c>
      <c r="AM32" s="44" t="str">
        <f t="shared" si="3"/>
        <v/>
      </c>
      <c r="AN32" s="43" t="str">
        <f>IF($C32="","",COUNTIF($D32:$AH32,[1]DATA!$F$9)+COUNTIF($D32:$AH32,[1]DATA!$F$18)/2)</f>
        <v/>
      </c>
      <c r="AO32" s="43" t="str">
        <f>IF($C32="","",COUNTIF($D32:$AH32,[1]DATA!$F$10)+COUNTIF($D32:$AH32,[1]DATA!$F$19)/2)</f>
        <v/>
      </c>
      <c r="AP32" s="43" t="str">
        <f>IF($C32="","",COUNTIF($D32:$AH32,[1]DATA!$F$11)+COUNTIF($D32:$AH32,[1]DATA!$F$20)/2)</f>
        <v/>
      </c>
      <c r="AQ32" s="43" t="str">
        <f>IF($C32="","",COUNTIF($D32:$AH32,[1]DATA!$F$12)+COUNTIF($D32:$AH32,[1]DATA!$F$21)/2)</f>
        <v/>
      </c>
      <c r="AR32" s="43" t="str">
        <f>IF($C32="","",COUNTIF($D32:$AH32,[1]DATA!$F$13)+COUNTIF($D32:$AH32,[1]DATA!$F$22)/2)</f>
        <v/>
      </c>
      <c r="AS32" s="43" t="str">
        <f>IF($C32="","",COUNTIF($D32:$AH32,[1]DATA!$F$14)+COUNTIF($D32:$AH32,[1]DATA!$F$23)/2)</f>
        <v/>
      </c>
      <c r="AT32" s="43" t="str">
        <f>IF($C32="","",COUNTIF($D32:$AH32,[1]DATA!$F$24)+COUNTIF($D32:$AH32,[1]DATA!$F$25)/2)</f>
        <v/>
      </c>
      <c r="AU32" s="49" t="str">
        <f t="shared" si="4"/>
        <v/>
      </c>
      <c r="AV32" s="49" t="str">
        <f t="shared" si="5"/>
        <v/>
      </c>
      <c r="AW32" s="53"/>
      <c r="AX32" s="56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</row>
    <row r="33" s="3" customFormat="1" ht="14.25" customHeight="1" spans="1:66">
      <c r="A33" s="24" t="str">
        <f>IF([1]PHEPNAM!A34="","",[1]PHEPNAM!A34)</f>
        <v/>
      </c>
      <c r="B33" s="25" t="str">
        <f>IF(AND([1]PHEPNAM!E34="",[1]PHEPNAM!Y34="@"),"",IF(AND([1]PHEPNAM!C34="",[1]PHEPNAM!Y34=2),2,[1]PHEPNAM!C34))</f>
        <v/>
      </c>
      <c r="C33" s="25" t="str">
        <f>IF([1]PHEPNAM!E34="","",[1]PHEPNAM!E34)</f>
        <v/>
      </c>
      <c r="D33" s="26"/>
      <c r="E33" s="27"/>
      <c r="F33" s="26"/>
      <c r="G33" s="26"/>
      <c r="H33" s="26"/>
      <c r="I33" s="26"/>
      <c r="J33" s="26"/>
      <c r="K33" s="27"/>
      <c r="L33" s="27"/>
      <c r="M33" s="26"/>
      <c r="N33" s="26"/>
      <c r="O33" s="26"/>
      <c r="P33" s="26"/>
      <c r="Q33" s="26"/>
      <c r="R33" s="27"/>
      <c r="S33" s="27"/>
      <c r="T33" s="26"/>
      <c r="U33" s="26"/>
      <c r="V33" s="26"/>
      <c r="W33" s="27"/>
      <c r="X33" s="27"/>
      <c r="Y33" s="27"/>
      <c r="Z33" s="27"/>
      <c r="AA33" s="27"/>
      <c r="AB33" s="27"/>
      <c r="AC33" s="27"/>
      <c r="AD33" s="26"/>
      <c r="AE33" s="26"/>
      <c r="AF33" s="27"/>
      <c r="AG33" s="27"/>
      <c r="AH33" s="27"/>
      <c r="AI33" s="43" t="str">
        <f t="shared" si="2"/>
        <v/>
      </c>
      <c r="AJ33" s="43" t="str">
        <f>IF($C33="","",COUNTIF($D33:$AH33,[1]DATA!$F$6)+COUNTIF($D33:$AH33,[1]DATA!$F$15)/2)</f>
        <v/>
      </c>
      <c r="AK33" s="43" t="str">
        <f>IF($C33="","",COUNTIF($D33:$AH33,[1]DATA!$F$7)+COUNTIF($D33:$AH33,[1]DATA!$F$16)/2)</f>
        <v/>
      </c>
      <c r="AL33" s="44" t="str">
        <f>IF($C33="","",(COUNTIF($D33:$AH33,[1]DATA!$F$8)+COUNTIF($D33:$AH33,[1]DATA!$F$17)/2)+COUNTIF($D33:$AH33,[1]DATA!$F$26)*2+COUNTIF($D33:$AH33,[1]DATA!$F$27)*3-AM33)</f>
        <v/>
      </c>
      <c r="AM33" s="44" t="str">
        <f t="shared" si="3"/>
        <v/>
      </c>
      <c r="AN33" s="43" t="str">
        <f>IF($C33="","",COUNTIF($D33:$AH33,[1]DATA!$F$9)+COUNTIF($D33:$AH33,[1]DATA!$F$18)/2)</f>
        <v/>
      </c>
      <c r="AO33" s="43" t="str">
        <f>IF($C33="","",COUNTIF($D33:$AH33,[1]DATA!$F$10)+COUNTIF($D33:$AH33,[1]DATA!$F$19)/2)</f>
        <v/>
      </c>
      <c r="AP33" s="43" t="str">
        <f>IF($C33="","",COUNTIF($D33:$AH33,[1]DATA!$F$11)+COUNTIF($D33:$AH33,[1]DATA!$F$20)/2)</f>
        <v/>
      </c>
      <c r="AQ33" s="43" t="str">
        <f>IF($C33="","",COUNTIF($D33:$AH33,[1]DATA!$F$12)+COUNTIF($D33:$AH33,[1]DATA!$F$21)/2)</f>
        <v/>
      </c>
      <c r="AR33" s="43" t="str">
        <f>IF($C33="","",COUNTIF($D33:$AH33,[1]DATA!$F$13)+COUNTIF($D33:$AH33,[1]DATA!$F$22)/2)</f>
        <v/>
      </c>
      <c r="AS33" s="43" t="str">
        <f>IF($C33="","",COUNTIF($D33:$AH33,[1]DATA!$F$14)+COUNTIF($D33:$AH33,[1]DATA!$F$23)/2)</f>
        <v/>
      </c>
      <c r="AT33" s="43" t="str">
        <f>IF($C33="","",COUNTIF($D33:$AH33,[1]DATA!$F$24)+COUNTIF($D33:$AH33,[1]DATA!$F$25)/2)</f>
        <v/>
      </c>
      <c r="AU33" s="49" t="str">
        <f t="shared" si="4"/>
        <v/>
      </c>
      <c r="AV33" s="49" t="str">
        <f t="shared" si="5"/>
        <v/>
      </c>
      <c r="AW33" s="53"/>
      <c r="AX33" s="56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</row>
    <row r="34" s="3" customFormat="1" ht="14.25" customHeight="1" spans="1:66">
      <c r="A34" s="24" t="str">
        <f>IF([1]PHEPNAM!A35="","",[1]PHEPNAM!A35)</f>
        <v/>
      </c>
      <c r="B34" s="25" t="str">
        <f>IF(AND([1]PHEPNAM!E35="",[1]PHEPNAM!Y35="@"),"",IF(AND([1]PHEPNAM!C35="",[1]PHEPNAM!Y35=2),2,[1]PHEPNAM!C35))</f>
        <v/>
      </c>
      <c r="C34" s="25" t="str">
        <f>IF([1]PHEPNAM!E35="","",[1]PHEPNAM!E35)</f>
        <v/>
      </c>
      <c r="D34" s="26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43" t="str">
        <f t="shared" si="2"/>
        <v/>
      </c>
      <c r="AJ34" s="43" t="str">
        <f>IF($C34="","",COUNTIF($D34:$AH34,[1]DATA!$F$6)+COUNTIF($D34:$AH34,[1]DATA!$F$15)/2)</f>
        <v/>
      </c>
      <c r="AK34" s="43" t="str">
        <f>IF($C34="","",COUNTIF($D34:$AH34,[1]DATA!$F$7)+COUNTIF($D34:$AH34,[1]DATA!$F$16)/2)</f>
        <v/>
      </c>
      <c r="AL34" s="44" t="str">
        <f>IF($C34="","",(COUNTIF($D34:$AH34,[1]DATA!$F$8)+COUNTIF($D34:$AH34,[1]DATA!$F$17)/2)+COUNTIF($D34:$AH34,[1]DATA!$F$26)*2+COUNTIF($D34:$AH34,[1]DATA!$F$27)*3-AM34)</f>
        <v/>
      </c>
      <c r="AM34" s="44" t="str">
        <f t="shared" si="3"/>
        <v/>
      </c>
      <c r="AN34" s="43" t="str">
        <f>IF($C34="","",COUNTIF($D34:$AH34,[1]DATA!$F$9)+COUNTIF($D34:$AH34,[1]DATA!$F$18)/2)</f>
        <v/>
      </c>
      <c r="AO34" s="43" t="str">
        <f>IF($C34="","",COUNTIF($D34:$AH34,[1]DATA!$F$10)+COUNTIF($D34:$AH34,[1]DATA!$F$19)/2)</f>
        <v/>
      </c>
      <c r="AP34" s="43" t="str">
        <f>IF($C34="","",COUNTIF($D34:$AH34,[1]DATA!$F$11)+COUNTIF($D34:$AH34,[1]DATA!$F$20)/2)</f>
        <v/>
      </c>
      <c r="AQ34" s="43" t="str">
        <f>IF($C34="","",COUNTIF($D34:$AH34,[1]DATA!$F$12)+COUNTIF($D34:$AH34,[1]DATA!$F$21)/2)</f>
        <v/>
      </c>
      <c r="AR34" s="43" t="str">
        <f>IF($C34="","",COUNTIF($D34:$AH34,[1]DATA!$F$13)+COUNTIF($D34:$AH34,[1]DATA!$F$22)/2)</f>
        <v/>
      </c>
      <c r="AS34" s="43" t="str">
        <f>IF($C34="","",COUNTIF($D34:$AH34,[1]DATA!$F$14)+COUNTIF($D34:$AH34,[1]DATA!$F$23)/2)</f>
        <v/>
      </c>
      <c r="AT34" s="43" t="str">
        <f>IF($C34="","",COUNTIF($D34:$AH34,[1]DATA!$F$24)+COUNTIF($D34:$AH34,[1]DATA!$F$25)/2)</f>
        <v/>
      </c>
      <c r="AU34" s="49" t="str">
        <f t="shared" si="4"/>
        <v/>
      </c>
      <c r="AV34" s="49" t="str">
        <f t="shared" si="5"/>
        <v/>
      </c>
      <c r="AW34" s="53"/>
      <c r="AX34" s="56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</row>
    <row r="35" s="3" customFormat="1" ht="14.25" customHeight="1" spans="1:66">
      <c r="A35" s="24" t="str">
        <f>IF([1]PHEPNAM!A36="","",[1]PHEPNAM!A36)</f>
        <v/>
      </c>
      <c r="B35" s="25" t="str">
        <f>IF(AND([1]PHEPNAM!E36="",[1]PHEPNAM!Y36="@"),"",IF(AND([1]PHEPNAM!C36="",[1]PHEPNAM!Y36=2),2,[1]PHEPNAM!C36))</f>
        <v/>
      </c>
      <c r="C35" s="25" t="str">
        <f>IF([1]PHEPNAM!E36="","",[1]PHEPNAM!E36)</f>
        <v/>
      </c>
      <c r="D35" s="26"/>
      <c r="E35" s="27"/>
      <c r="F35" s="26"/>
      <c r="G35" s="26"/>
      <c r="H35" s="26"/>
      <c r="I35" s="26"/>
      <c r="J35" s="26"/>
      <c r="K35" s="27"/>
      <c r="L35" s="27"/>
      <c r="M35" s="26"/>
      <c r="N35" s="26"/>
      <c r="O35" s="26"/>
      <c r="P35" s="26"/>
      <c r="Q35" s="26"/>
      <c r="R35" s="27"/>
      <c r="S35" s="27"/>
      <c r="T35" s="26"/>
      <c r="U35" s="26"/>
      <c r="V35" s="26"/>
      <c r="W35" s="27"/>
      <c r="X35" s="27"/>
      <c r="Y35" s="27"/>
      <c r="Z35" s="27"/>
      <c r="AA35" s="27"/>
      <c r="AB35" s="27"/>
      <c r="AC35" s="27"/>
      <c r="AD35" s="26"/>
      <c r="AE35" s="26"/>
      <c r="AF35" s="27"/>
      <c r="AG35" s="27"/>
      <c r="AH35" s="27"/>
      <c r="AI35" s="43" t="str">
        <f t="shared" si="2"/>
        <v/>
      </c>
      <c r="AJ35" s="43" t="str">
        <f>IF($C35="","",COUNTIF($D35:$AH35,[1]DATA!$F$6)+COUNTIF($D35:$AH35,[1]DATA!$F$15)/2)</f>
        <v/>
      </c>
      <c r="AK35" s="43" t="str">
        <f>IF($C35="","",COUNTIF($D35:$AH35,[1]DATA!$F$7)+COUNTIF($D35:$AH35,[1]DATA!$F$16)/2)</f>
        <v/>
      </c>
      <c r="AL35" s="44" t="str">
        <f>IF($C35="","",(COUNTIF($D35:$AH35,[1]DATA!$F$8)+COUNTIF($D35:$AH35,[1]DATA!$F$17)/2)+COUNTIF($D35:$AH35,[1]DATA!$F$26)*2+COUNTIF($D35:$AH35,[1]DATA!$F$27)*3-AM35)</f>
        <v/>
      </c>
      <c r="AM35" s="44" t="str">
        <f t="shared" si="3"/>
        <v/>
      </c>
      <c r="AN35" s="43" t="str">
        <f>IF($C35="","",COUNTIF($D35:$AH35,[1]DATA!$F$9)+COUNTIF($D35:$AH35,[1]DATA!$F$18)/2)</f>
        <v/>
      </c>
      <c r="AO35" s="43" t="str">
        <f>IF($C35="","",COUNTIF($D35:$AH35,[1]DATA!$F$10)+COUNTIF($D35:$AH35,[1]DATA!$F$19)/2)</f>
        <v/>
      </c>
      <c r="AP35" s="43" t="str">
        <f>IF($C35="","",COUNTIF($D35:$AH35,[1]DATA!$F$11)+COUNTIF($D35:$AH35,[1]DATA!$F$20)/2)</f>
        <v/>
      </c>
      <c r="AQ35" s="43" t="str">
        <f>IF($C35="","",COUNTIF($D35:$AH35,[1]DATA!$F$12)+COUNTIF($D35:$AH35,[1]DATA!$F$21)/2)</f>
        <v/>
      </c>
      <c r="AR35" s="43" t="str">
        <f>IF($C35="","",COUNTIF($D35:$AH35,[1]DATA!$F$13)+COUNTIF($D35:$AH35,[1]DATA!$F$22)/2)</f>
        <v/>
      </c>
      <c r="AS35" s="43" t="str">
        <f>IF($C35="","",COUNTIF($D35:$AH35,[1]DATA!$F$14)+COUNTIF($D35:$AH35,[1]DATA!$F$23)/2)</f>
        <v/>
      </c>
      <c r="AT35" s="43" t="str">
        <f>IF($C35="","",COUNTIF($D35:$AH35,[1]DATA!$F$24)+COUNTIF($D35:$AH35,[1]DATA!$F$25)/2)</f>
        <v/>
      </c>
      <c r="AU35" s="49" t="str">
        <f t="shared" si="4"/>
        <v/>
      </c>
      <c r="AV35" s="49" t="str">
        <f t="shared" si="5"/>
        <v/>
      </c>
      <c r="AW35" s="53"/>
      <c r="AX35" s="56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</row>
    <row r="36" s="3" customFormat="1" ht="14.25" customHeight="1" spans="1:66">
      <c r="A36" s="24" t="str">
        <f>IF([1]PHEPNAM!A37="","",[1]PHEPNAM!A37)</f>
        <v/>
      </c>
      <c r="B36" s="25" t="str">
        <f>IF(AND([1]PHEPNAM!E37="",[1]PHEPNAM!Y37="@"),"",IF(AND([1]PHEPNAM!C37="",[1]PHEPNAM!Y37=2),2,[1]PHEPNAM!C37))</f>
        <v/>
      </c>
      <c r="C36" s="25" t="str">
        <f>IF([1]PHEPNAM!E37="","",[1]PHEPNAM!E37)</f>
        <v/>
      </c>
      <c r="D36" s="26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43" t="str">
        <f t="shared" si="2"/>
        <v/>
      </c>
      <c r="AJ36" s="43" t="str">
        <f>IF($C36="","",COUNTIF($D36:$AH36,[1]DATA!$F$6)+COUNTIF($D36:$AH36,[1]DATA!$F$15)/2)</f>
        <v/>
      </c>
      <c r="AK36" s="43" t="str">
        <f>IF($C36="","",COUNTIF($D36:$AH36,[1]DATA!$F$7)+COUNTIF($D36:$AH36,[1]DATA!$F$16)/2)</f>
        <v/>
      </c>
      <c r="AL36" s="44" t="str">
        <f>IF($C36="","",(COUNTIF($D36:$AH36,[1]DATA!$F$8)+COUNTIF($D36:$AH36,[1]DATA!$F$17)/2)+COUNTIF($D36:$AH36,[1]DATA!$F$26)*2+COUNTIF($D36:$AH36,[1]DATA!$F$27)*3-AM36)</f>
        <v/>
      </c>
      <c r="AM36" s="44" t="str">
        <f t="shared" si="3"/>
        <v/>
      </c>
      <c r="AN36" s="43" t="str">
        <f>IF($C36="","",COUNTIF($D36:$AH36,[1]DATA!$F$9)+COUNTIF($D36:$AH36,[1]DATA!$F$18)/2)</f>
        <v/>
      </c>
      <c r="AO36" s="43" t="str">
        <f>IF($C36="","",COUNTIF($D36:$AH36,[1]DATA!$F$10)+COUNTIF($D36:$AH36,[1]DATA!$F$19)/2)</f>
        <v/>
      </c>
      <c r="AP36" s="43" t="str">
        <f>IF($C36="","",COUNTIF($D36:$AH36,[1]DATA!$F$11)+COUNTIF($D36:$AH36,[1]DATA!$F$20)/2)</f>
        <v/>
      </c>
      <c r="AQ36" s="43" t="str">
        <f>IF($C36="","",COUNTIF($D36:$AH36,[1]DATA!$F$12)+COUNTIF($D36:$AH36,[1]DATA!$F$21)/2)</f>
        <v/>
      </c>
      <c r="AR36" s="43" t="str">
        <f>IF($C36="","",COUNTIF($D36:$AH36,[1]DATA!$F$13)+COUNTIF($D36:$AH36,[1]DATA!$F$22)/2)</f>
        <v/>
      </c>
      <c r="AS36" s="43" t="str">
        <f>IF($C36="","",COUNTIF($D36:$AH36,[1]DATA!$F$14)+COUNTIF($D36:$AH36,[1]DATA!$F$23)/2)</f>
        <v/>
      </c>
      <c r="AT36" s="43" t="str">
        <f>IF($C36="","",COUNTIF($D36:$AH36,[1]DATA!$F$24)+COUNTIF($D36:$AH36,[1]DATA!$F$25)/2)</f>
        <v/>
      </c>
      <c r="AU36" s="49" t="str">
        <f t="shared" si="4"/>
        <v/>
      </c>
      <c r="AV36" s="49" t="str">
        <f t="shared" si="5"/>
        <v/>
      </c>
      <c r="AW36" s="53"/>
      <c r="AX36" s="56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</row>
    <row r="37" s="3" customFormat="1" ht="14.25" customHeight="1" spans="1:66">
      <c r="A37" s="24" t="str">
        <f>IF([1]PHEPNAM!A38="","",[1]PHEPNAM!A38)</f>
        <v/>
      </c>
      <c r="B37" s="25" t="str">
        <f>IF(AND([1]PHEPNAM!E38="",[1]PHEPNAM!Y38="@"),"",IF(AND([1]PHEPNAM!C38="",[1]PHEPNAM!Y38=2),2,[1]PHEPNAM!C38))</f>
        <v/>
      </c>
      <c r="C37" s="25" t="str">
        <f>IF([1]PHEPNAM!E38="","",[1]PHEPNAM!E38)</f>
        <v/>
      </c>
      <c r="D37" s="26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43" t="str">
        <f t="shared" si="2"/>
        <v/>
      </c>
      <c r="AJ37" s="43" t="str">
        <f>IF($C37="","",COUNTIF($D37:$AH37,[1]DATA!$F$6)+COUNTIF($D37:$AH37,[1]DATA!$F$15)/2)</f>
        <v/>
      </c>
      <c r="AK37" s="43" t="str">
        <f>IF($C37="","",COUNTIF($D37:$AH37,[1]DATA!$F$7)+COUNTIF($D37:$AH37,[1]DATA!$F$16)/2)</f>
        <v/>
      </c>
      <c r="AL37" s="44" t="str">
        <f>IF($C37="","",(COUNTIF($D37:$AH37,[1]DATA!$F$8)+COUNTIF($D37:$AH37,[1]DATA!$F$17)/2)+COUNTIF($D37:$AH37,[1]DATA!$F$26)*2+COUNTIF($D37:$AH37,[1]DATA!$F$27)*3-AM37)</f>
        <v/>
      </c>
      <c r="AM37" s="44" t="str">
        <f t="shared" si="3"/>
        <v/>
      </c>
      <c r="AN37" s="43" t="str">
        <f>IF($C37="","",COUNTIF($D37:$AH37,[1]DATA!$F$9)+COUNTIF($D37:$AH37,[1]DATA!$F$18)/2)</f>
        <v/>
      </c>
      <c r="AO37" s="43" t="str">
        <f>IF($C37="","",COUNTIF($D37:$AH37,[1]DATA!$F$10)+COUNTIF($D37:$AH37,[1]DATA!$F$19)/2)</f>
        <v/>
      </c>
      <c r="AP37" s="43" t="str">
        <f>IF($C37="","",COUNTIF($D37:$AH37,[1]DATA!$F$11)+COUNTIF($D37:$AH37,[1]DATA!$F$20)/2)</f>
        <v/>
      </c>
      <c r="AQ37" s="43" t="str">
        <f>IF($C37="","",COUNTIF($D37:$AH37,[1]DATA!$F$12)+COUNTIF($D37:$AH37,[1]DATA!$F$21)/2)</f>
        <v/>
      </c>
      <c r="AR37" s="43" t="str">
        <f>IF($C37="","",COUNTIF($D37:$AH37,[1]DATA!$F$13)+COUNTIF($D37:$AH37,[1]DATA!$F$22)/2)</f>
        <v/>
      </c>
      <c r="AS37" s="43" t="str">
        <f>IF($C37="","",COUNTIF($D37:$AH37,[1]DATA!$F$14)+COUNTIF($D37:$AH37,[1]DATA!$F$23)/2)</f>
        <v/>
      </c>
      <c r="AT37" s="43" t="str">
        <f>IF($C37="","",COUNTIF($D37:$AH37,[1]DATA!$F$24)+COUNTIF($D37:$AH37,[1]DATA!$F$25)/2)</f>
        <v/>
      </c>
      <c r="AU37" s="49" t="str">
        <f t="shared" si="4"/>
        <v/>
      </c>
      <c r="AV37" s="49" t="str">
        <f t="shared" si="5"/>
        <v/>
      </c>
      <c r="AW37" s="53"/>
      <c r="AX37" s="56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</row>
    <row r="38" s="3" customFormat="1" ht="14.25" customHeight="1" spans="1:66">
      <c r="A38" s="24" t="str">
        <f>IF([1]PHEPNAM!A39="","",[1]PHEPNAM!A39)</f>
        <v/>
      </c>
      <c r="B38" s="25" t="str">
        <f>IF(AND([1]PHEPNAM!E39="",[1]PHEPNAM!Y39="@"),"",IF(AND([1]PHEPNAM!C39="",[1]PHEPNAM!Y39=2),2,[1]PHEPNAM!C39))</f>
        <v/>
      </c>
      <c r="C38" s="25" t="str">
        <f>IF([1]PHEPNAM!E39="","",[1]PHEPNAM!E39)</f>
        <v/>
      </c>
      <c r="D38" s="26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43" t="str">
        <f t="shared" si="2"/>
        <v/>
      </c>
      <c r="AJ38" s="43" t="str">
        <f>IF($C38="","",COUNTIF($D38:$AH38,[1]DATA!$F$6)+COUNTIF($D38:$AH38,[1]DATA!$F$15)/2)</f>
        <v/>
      </c>
      <c r="AK38" s="43" t="str">
        <f>IF($C38="","",COUNTIF($D38:$AH38,[1]DATA!$F$7)+COUNTIF($D38:$AH38,[1]DATA!$F$16)/2)</f>
        <v/>
      </c>
      <c r="AL38" s="44" t="str">
        <f>IF($C38="","",(COUNTIF($D38:$AH38,[1]DATA!$F$8)+COUNTIF($D38:$AH38,[1]DATA!$F$17)/2)+COUNTIF($D38:$AH38,[1]DATA!$F$26)*2+COUNTIF($D38:$AH38,[1]DATA!$F$27)*3-AM38)</f>
        <v/>
      </c>
      <c r="AM38" s="44" t="str">
        <f t="shared" si="3"/>
        <v/>
      </c>
      <c r="AN38" s="43" t="str">
        <f>IF($C38="","",COUNTIF($D38:$AH38,[1]DATA!$F$9)+COUNTIF($D38:$AH38,[1]DATA!$F$18)/2)</f>
        <v/>
      </c>
      <c r="AO38" s="43" t="str">
        <f>IF($C38="","",COUNTIF($D38:$AH38,[1]DATA!$F$10)+COUNTIF($D38:$AH38,[1]DATA!$F$19)/2)</f>
        <v/>
      </c>
      <c r="AP38" s="43" t="str">
        <f>IF($C38="","",COUNTIF($D38:$AH38,[1]DATA!$F$11)+COUNTIF($D38:$AH38,[1]DATA!$F$20)/2)</f>
        <v/>
      </c>
      <c r="AQ38" s="43" t="str">
        <f>IF($C38="","",COUNTIF($D38:$AH38,[1]DATA!$F$12)+COUNTIF($D38:$AH38,[1]DATA!$F$21)/2)</f>
        <v/>
      </c>
      <c r="AR38" s="43" t="str">
        <f>IF($C38="","",COUNTIF($D38:$AH38,[1]DATA!$F$13)+COUNTIF($D38:$AH38,[1]DATA!$F$22)/2)</f>
        <v/>
      </c>
      <c r="AS38" s="43" t="str">
        <f>IF($C38="","",COUNTIF($D38:$AH38,[1]DATA!$F$14)+COUNTIF($D38:$AH38,[1]DATA!$F$23)/2)</f>
        <v/>
      </c>
      <c r="AT38" s="43" t="str">
        <f>IF($C38="","",COUNTIF($D38:$AH38,[1]DATA!$F$24)+COUNTIF($D38:$AH38,[1]DATA!$F$25)/2)</f>
        <v/>
      </c>
      <c r="AU38" s="49" t="str">
        <f t="shared" si="4"/>
        <v/>
      </c>
      <c r="AV38" s="49" t="str">
        <f t="shared" si="5"/>
        <v/>
      </c>
      <c r="AW38" s="53"/>
      <c r="AX38" s="56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</row>
    <row r="39" s="3" customFormat="1" ht="14.25" customHeight="1" spans="1:66">
      <c r="A39" s="24" t="str">
        <f>IF([1]PHEPNAM!A40="","",[1]PHEPNAM!A40)</f>
        <v/>
      </c>
      <c r="B39" s="25" t="str">
        <f>IF(AND([1]PHEPNAM!E40="",[1]PHEPNAM!Y40="@"),"",IF(AND([1]PHEPNAM!C40="",[1]PHEPNAM!Y40=2),2,[1]PHEPNAM!C40))</f>
        <v/>
      </c>
      <c r="C39" s="25" t="str">
        <f>IF([1]PHEPNAM!E40="","",[1]PHEPNAM!E40)</f>
        <v/>
      </c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43" t="str">
        <f t="shared" si="2"/>
        <v/>
      </c>
      <c r="AJ39" s="43" t="str">
        <f>IF($C39="","",COUNTIF($D39:$AH39,[1]DATA!$F$6)+COUNTIF($D39:$AH39,[1]DATA!$F$15)/2)</f>
        <v/>
      </c>
      <c r="AK39" s="43" t="str">
        <f>IF($C39="","",COUNTIF($D39:$AH39,[1]DATA!$F$7)+COUNTIF($D39:$AH39,[1]DATA!$F$16)/2)</f>
        <v/>
      </c>
      <c r="AL39" s="44" t="str">
        <f>IF($C39="","",(COUNTIF($D39:$AH39,[1]DATA!$F$8)+COUNTIF($D39:$AH39,[1]DATA!$F$17)/2)+COUNTIF($D39:$AH39,[1]DATA!$F$26)*2+COUNTIF($D39:$AH39,[1]DATA!$F$27)*3-AM39)</f>
        <v/>
      </c>
      <c r="AM39" s="44" t="str">
        <f t="shared" si="3"/>
        <v/>
      </c>
      <c r="AN39" s="43" t="str">
        <f>IF($C39="","",COUNTIF($D39:$AH39,[1]DATA!$F$9)+COUNTIF($D39:$AH39,[1]DATA!$F$18)/2)</f>
        <v/>
      </c>
      <c r="AO39" s="43" t="str">
        <f>IF($C39="","",COUNTIF($D39:$AH39,[1]DATA!$F$10)+COUNTIF($D39:$AH39,[1]DATA!$F$19)/2)</f>
        <v/>
      </c>
      <c r="AP39" s="43" t="str">
        <f>IF($C39="","",COUNTIF($D39:$AH39,[1]DATA!$F$11)+COUNTIF($D39:$AH39,[1]DATA!$F$20)/2)</f>
        <v/>
      </c>
      <c r="AQ39" s="43" t="str">
        <f>IF($C39="","",COUNTIF($D39:$AH39,[1]DATA!$F$12)+COUNTIF($D39:$AH39,[1]DATA!$F$21)/2)</f>
        <v/>
      </c>
      <c r="AR39" s="43" t="str">
        <f>IF($C39="","",COUNTIF($D39:$AH39,[1]DATA!$F$13)+COUNTIF($D39:$AH39,[1]DATA!$F$22)/2)</f>
        <v/>
      </c>
      <c r="AS39" s="43" t="str">
        <f>IF($C39="","",COUNTIF($D39:$AH39,[1]DATA!$F$14)+COUNTIF($D39:$AH39,[1]DATA!$F$23)/2)</f>
        <v/>
      </c>
      <c r="AT39" s="43" t="str">
        <f>IF($C39="","",COUNTIF($D39:$AH39,[1]DATA!$F$24)+COUNTIF($D39:$AH39,[1]DATA!$F$25)/2)</f>
        <v/>
      </c>
      <c r="AU39" s="49" t="str">
        <f t="shared" si="4"/>
        <v/>
      </c>
      <c r="AV39" s="49" t="str">
        <f t="shared" si="5"/>
        <v/>
      </c>
      <c r="AW39" s="53"/>
      <c r="AX39" s="56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</row>
    <row r="40" s="3" customFormat="1" ht="14.25" customHeight="1" spans="1:66">
      <c r="A40" s="24" t="str">
        <f>IF([1]PHEPNAM!A41="","",[1]PHEPNAM!A41)</f>
        <v/>
      </c>
      <c r="B40" s="25" t="str">
        <f>IF(AND([1]PHEPNAM!E41="",[1]PHEPNAM!Y41="@"),"",IF(AND([1]PHEPNAM!C41="",[1]PHEPNAM!Y41=2),2,[1]PHEPNAM!C41))</f>
        <v/>
      </c>
      <c r="C40" s="25" t="str">
        <f>IF([1]PHEPNAM!E41="","",[1]PHEPNAM!E41)</f>
        <v/>
      </c>
      <c r="D40" s="26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43" t="str">
        <f t="shared" si="2"/>
        <v/>
      </c>
      <c r="AJ40" s="43" t="str">
        <f>IF($C40="","",COUNTIF($D40:$AH40,[1]DATA!$F$6)+COUNTIF($D40:$AH40,[1]DATA!$F$15)/2)</f>
        <v/>
      </c>
      <c r="AK40" s="43" t="str">
        <f>IF($C40="","",COUNTIF($D40:$AH40,[1]DATA!$F$7)+COUNTIF($D40:$AH40,[1]DATA!$F$16)/2)</f>
        <v/>
      </c>
      <c r="AL40" s="44" t="str">
        <f>IF($C40="","",(COUNTIF($D40:$AH40,[1]DATA!$F$8)+COUNTIF($D40:$AH40,[1]DATA!$F$17)/2)+COUNTIF($D40:$AH40,[1]DATA!$F$26)*2+COUNTIF($D40:$AH40,[1]DATA!$F$27)*3-AM40)</f>
        <v/>
      </c>
      <c r="AM40" s="44" t="str">
        <f t="shared" si="3"/>
        <v/>
      </c>
      <c r="AN40" s="43" t="str">
        <f>IF($C40="","",COUNTIF($D40:$AH40,[1]DATA!$F$9)+COUNTIF($D40:$AH40,[1]DATA!$F$18)/2)</f>
        <v/>
      </c>
      <c r="AO40" s="43" t="str">
        <f>IF($C40="","",COUNTIF($D40:$AH40,[1]DATA!$F$10)+COUNTIF($D40:$AH40,[1]DATA!$F$19)/2)</f>
        <v/>
      </c>
      <c r="AP40" s="43" t="str">
        <f>IF($C40="","",COUNTIF($D40:$AH40,[1]DATA!$F$11)+COUNTIF($D40:$AH40,[1]DATA!$F$20)/2)</f>
        <v/>
      </c>
      <c r="AQ40" s="43" t="str">
        <f>IF($C40="","",COUNTIF($D40:$AH40,[1]DATA!$F$12)+COUNTIF($D40:$AH40,[1]DATA!$F$21)/2)</f>
        <v/>
      </c>
      <c r="AR40" s="43" t="str">
        <f>IF($C40="","",COUNTIF($D40:$AH40,[1]DATA!$F$13)+COUNTIF($D40:$AH40,[1]DATA!$F$22)/2)</f>
        <v/>
      </c>
      <c r="AS40" s="43" t="str">
        <f>IF($C40="","",COUNTIF($D40:$AH40,[1]DATA!$F$14)+COUNTIF($D40:$AH40,[1]DATA!$F$23)/2)</f>
        <v/>
      </c>
      <c r="AT40" s="43" t="str">
        <f>IF($C40="","",COUNTIF($D40:$AH40,[1]DATA!$F$24)+COUNTIF($D40:$AH40,[1]DATA!$F$25)/2)</f>
        <v/>
      </c>
      <c r="AU40" s="49" t="str">
        <f t="shared" si="4"/>
        <v/>
      </c>
      <c r="AV40" s="49" t="str">
        <f t="shared" si="5"/>
        <v/>
      </c>
      <c r="AW40" s="53"/>
      <c r="AX40" s="56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</row>
    <row r="41" s="3" customFormat="1" ht="14.25" customHeight="1" spans="1:66">
      <c r="A41" s="24" t="str">
        <f>IF([1]PHEPNAM!A42="","",[1]PHEPNAM!A42)</f>
        <v/>
      </c>
      <c r="B41" s="25" t="str">
        <f>IF(AND([1]PHEPNAM!E42="",[1]PHEPNAM!Y42="@"),"",IF(AND([1]PHEPNAM!C42="",[1]PHEPNAM!Y42=2),2,[1]PHEPNAM!C42))</f>
        <v/>
      </c>
      <c r="C41" s="25" t="str">
        <f>IF([1]PHEPNAM!E42="","",[1]PHEPNAM!E42)</f>
        <v/>
      </c>
      <c r="D41" s="26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43" t="str">
        <f t="shared" si="2"/>
        <v/>
      </c>
      <c r="AJ41" s="43" t="str">
        <f>IF($C41="","",COUNTIF($D41:$AH41,[1]DATA!$F$6)+COUNTIF($D41:$AH41,[1]DATA!$F$15)/2)</f>
        <v/>
      </c>
      <c r="AK41" s="43" t="str">
        <f>IF($C41="","",COUNTIF($D41:$AH41,[1]DATA!$F$7)+COUNTIF($D41:$AH41,[1]DATA!$F$16)/2)</f>
        <v/>
      </c>
      <c r="AL41" s="44" t="str">
        <f>IF($C41="","",(COUNTIF($D41:$AH41,[1]DATA!$F$8)+COUNTIF($D41:$AH41,[1]DATA!$F$17)/2)+COUNTIF($D41:$AH41,[1]DATA!$F$26)*2+COUNTIF($D41:$AH41,[1]DATA!$F$27)*3-AM41)</f>
        <v/>
      </c>
      <c r="AM41" s="44" t="str">
        <f t="shared" si="3"/>
        <v/>
      </c>
      <c r="AN41" s="43" t="str">
        <f>IF($C41="","",COUNTIF($D41:$AH41,[1]DATA!$F$9)+COUNTIF($D41:$AH41,[1]DATA!$F$18)/2)</f>
        <v/>
      </c>
      <c r="AO41" s="43" t="str">
        <f>IF($C41="","",COUNTIF($D41:$AH41,[1]DATA!$F$10)+COUNTIF($D41:$AH41,[1]DATA!$F$19)/2)</f>
        <v/>
      </c>
      <c r="AP41" s="43" t="str">
        <f>IF($C41="","",COUNTIF($D41:$AH41,[1]DATA!$F$11)+COUNTIF($D41:$AH41,[1]DATA!$F$20)/2)</f>
        <v/>
      </c>
      <c r="AQ41" s="43" t="str">
        <f>IF($C41="","",COUNTIF($D41:$AH41,[1]DATA!$F$12)+COUNTIF($D41:$AH41,[1]DATA!$F$21)/2)</f>
        <v/>
      </c>
      <c r="AR41" s="43" t="str">
        <f>IF($C41="","",COUNTIF($D41:$AH41,[1]DATA!$F$13)+COUNTIF($D41:$AH41,[1]DATA!$F$22)/2)</f>
        <v/>
      </c>
      <c r="AS41" s="43" t="str">
        <f>IF($C41="","",COUNTIF($D41:$AH41,[1]DATA!$F$14)+COUNTIF($D41:$AH41,[1]DATA!$F$23)/2)</f>
        <v/>
      </c>
      <c r="AT41" s="43" t="str">
        <f>IF($C41="","",COUNTIF($D41:$AH41,[1]DATA!$F$24)+COUNTIF($D41:$AH41,[1]DATA!$F$25)/2)</f>
        <v/>
      </c>
      <c r="AU41" s="49" t="str">
        <f t="shared" si="4"/>
        <v/>
      </c>
      <c r="AV41" s="49" t="str">
        <f t="shared" si="5"/>
        <v/>
      </c>
      <c r="AW41" s="53"/>
      <c r="AX41" s="56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</row>
    <row r="42" s="3" customFormat="1" ht="14.25" customHeight="1" spans="1:66">
      <c r="A42" s="24" t="str">
        <f>IF([1]PHEPNAM!A43="","",[1]PHEPNAM!A43)</f>
        <v/>
      </c>
      <c r="B42" s="25" t="str">
        <f>IF(AND([1]PHEPNAM!E43="",[1]PHEPNAM!Y43="@"),"",IF(AND([1]PHEPNAM!C43="",[1]PHEPNAM!Y43=2),2,[1]PHEPNAM!C43))</f>
        <v/>
      </c>
      <c r="C42" s="25" t="str">
        <f>IF([1]PHEPNAM!E43="","",[1]PHEPNAM!E43)</f>
        <v/>
      </c>
      <c r="D42" s="26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43" t="str">
        <f t="shared" si="2"/>
        <v/>
      </c>
      <c r="AJ42" s="43" t="str">
        <f>IF($C42="","",COUNTIF($D42:$AH42,[1]DATA!$F$6)+COUNTIF($D42:$AH42,[1]DATA!$F$15)/2)</f>
        <v/>
      </c>
      <c r="AK42" s="43" t="str">
        <f>IF($C42="","",COUNTIF($D42:$AH42,[1]DATA!$F$7)+COUNTIF($D42:$AH42,[1]DATA!$F$16)/2)</f>
        <v/>
      </c>
      <c r="AL42" s="44" t="str">
        <f>IF($C42="","",(COUNTIF($D42:$AH42,[1]DATA!$F$8)+COUNTIF($D42:$AH42,[1]DATA!$F$17)/2)+COUNTIF($D42:$AH42,[1]DATA!$F$26)*2+COUNTIF($D42:$AH42,[1]DATA!$F$27)*3-AM42)</f>
        <v/>
      </c>
      <c r="AM42" s="44" t="str">
        <f t="shared" si="3"/>
        <v/>
      </c>
      <c r="AN42" s="43" t="str">
        <f>IF($C42="","",COUNTIF($D42:$AH42,[1]DATA!$F$9)+COUNTIF($D42:$AH42,[1]DATA!$F$18)/2)</f>
        <v/>
      </c>
      <c r="AO42" s="43" t="str">
        <f>IF($C42="","",COUNTIF($D42:$AH42,[1]DATA!$F$10)+COUNTIF($D42:$AH42,[1]DATA!$F$19)/2)</f>
        <v/>
      </c>
      <c r="AP42" s="43" t="str">
        <f>IF($C42="","",COUNTIF($D42:$AH42,[1]DATA!$F$11)+COUNTIF($D42:$AH42,[1]DATA!$F$20)/2)</f>
        <v/>
      </c>
      <c r="AQ42" s="43" t="str">
        <f>IF($C42="","",COUNTIF($D42:$AH42,[1]DATA!$F$12)+COUNTIF($D42:$AH42,[1]DATA!$F$21)/2)</f>
        <v/>
      </c>
      <c r="AR42" s="43" t="str">
        <f>IF($C42="","",COUNTIF($D42:$AH42,[1]DATA!$F$13)+COUNTIF($D42:$AH42,[1]DATA!$F$22)/2)</f>
        <v/>
      </c>
      <c r="AS42" s="43" t="str">
        <f>IF($C42="","",COUNTIF($D42:$AH42,[1]DATA!$F$14)+COUNTIF($D42:$AH42,[1]DATA!$F$23)/2)</f>
        <v/>
      </c>
      <c r="AT42" s="43" t="str">
        <f>IF($C42="","",COUNTIF($D42:$AH42,[1]DATA!$F$24)+COUNTIF($D42:$AH42,[1]DATA!$F$25)/2)</f>
        <v/>
      </c>
      <c r="AU42" s="49" t="str">
        <f t="shared" si="4"/>
        <v/>
      </c>
      <c r="AV42" s="49" t="str">
        <f t="shared" si="5"/>
        <v/>
      </c>
      <c r="AW42" s="53"/>
      <c r="AX42" s="56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</row>
    <row r="43" s="3" customFormat="1" ht="14.25" customHeight="1" spans="1:66">
      <c r="A43" s="24" t="str">
        <f>IF([1]PHEPNAM!A44="","",[1]PHEPNAM!A44)</f>
        <v/>
      </c>
      <c r="B43" s="25" t="str">
        <f>IF(AND([1]PHEPNAM!E44="",[1]PHEPNAM!Y44="@"),"",IF(AND([1]PHEPNAM!C44="",[1]PHEPNAM!Y44=2),2,[1]PHEPNAM!C44))</f>
        <v/>
      </c>
      <c r="C43" s="25" t="str">
        <f>IF([1]PHEPNAM!E44="","",[1]PHEPNAM!E44)</f>
        <v/>
      </c>
      <c r="D43" s="26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43" t="str">
        <f t="shared" si="2"/>
        <v/>
      </c>
      <c r="AJ43" s="43" t="str">
        <f>IF($C43="","",COUNTIF($D43:$AH43,[1]DATA!$F$6)+COUNTIF($D43:$AH43,[1]DATA!$F$15)/2)</f>
        <v/>
      </c>
      <c r="AK43" s="43" t="str">
        <f>IF($C43="","",COUNTIF($D43:$AH43,[1]DATA!$F$7)+COUNTIF($D43:$AH43,[1]DATA!$F$16)/2)</f>
        <v/>
      </c>
      <c r="AL43" s="44" t="str">
        <f>IF($C43="","",(COUNTIF($D43:$AH43,[1]DATA!$F$8)+COUNTIF($D43:$AH43,[1]DATA!$F$17)/2)+COUNTIF($D43:$AH43,[1]DATA!$F$26)*2+COUNTIF($D43:$AH43,[1]DATA!$F$27)*3-AM43)</f>
        <v/>
      </c>
      <c r="AM43" s="44" t="str">
        <f t="shared" si="3"/>
        <v/>
      </c>
      <c r="AN43" s="43" t="str">
        <f>IF($C43="","",COUNTIF($D43:$AH43,[1]DATA!$F$9)+COUNTIF($D43:$AH43,[1]DATA!$F$18)/2)</f>
        <v/>
      </c>
      <c r="AO43" s="43" t="str">
        <f>IF($C43="","",COUNTIF($D43:$AH43,[1]DATA!$F$10)+COUNTIF($D43:$AH43,[1]DATA!$F$19)/2)</f>
        <v/>
      </c>
      <c r="AP43" s="43" t="str">
        <f>IF($C43="","",COUNTIF($D43:$AH43,[1]DATA!$F$11)+COUNTIF($D43:$AH43,[1]DATA!$F$20)/2)</f>
        <v/>
      </c>
      <c r="AQ43" s="43" t="str">
        <f>IF($C43="","",COUNTIF($D43:$AH43,[1]DATA!$F$12)+COUNTIF($D43:$AH43,[1]DATA!$F$21)/2)</f>
        <v/>
      </c>
      <c r="AR43" s="43" t="str">
        <f>IF($C43="","",COUNTIF($D43:$AH43,[1]DATA!$F$13)+COUNTIF($D43:$AH43,[1]DATA!$F$22)/2)</f>
        <v/>
      </c>
      <c r="AS43" s="43" t="str">
        <f>IF($C43="","",COUNTIF($D43:$AH43,[1]DATA!$F$14)+COUNTIF($D43:$AH43,[1]DATA!$F$23)/2)</f>
        <v/>
      </c>
      <c r="AT43" s="43" t="str">
        <f>IF($C43="","",COUNTIF($D43:$AH43,[1]DATA!$F$24)+COUNTIF($D43:$AH43,[1]DATA!$F$25)/2)</f>
        <v/>
      </c>
      <c r="AU43" s="49" t="str">
        <f t="shared" si="4"/>
        <v/>
      </c>
      <c r="AV43" s="49" t="str">
        <f t="shared" si="5"/>
        <v/>
      </c>
      <c r="AW43" s="53"/>
      <c r="AX43" s="56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</row>
    <row r="44" s="3" customFormat="1" ht="14.25" customHeight="1" spans="1:66">
      <c r="A44" s="24" t="str">
        <f>IF([1]PHEPNAM!A45="","",[1]PHEPNAM!A45)</f>
        <v/>
      </c>
      <c r="B44" s="25" t="str">
        <f>IF(AND([1]PHEPNAM!E45="",[1]PHEPNAM!Y45="@"),"",IF(AND([1]PHEPNAM!C45="",[1]PHEPNAM!Y45=2),2,[1]PHEPNAM!C45))</f>
        <v/>
      </c>
      <c r="C44" s="25" t="str">
        <f>IF([1]PHEPNAM!E45="","",[1]PHEPNAM!E45)</f>
        <v/>
      </c>
      <c r="D44" s="26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43" t="str">
        <f t="shared" si="2"/>
        <v/>
      </c>
      <c r="AJ44" s="43" t="str">
        <f>IF($C44="","",COUNTIF($D44:$AH44,[1]DATA!$F$6)+COUNTIF($D44:$AH44,[1]DATA!$F$15)/2)</f>
        <v/>
      </c>
      <c r="AK44" s="43" t="str">
        <f>IF($C44="","",COUNTIF($D44:$AH44,[1]DATA!$F$7)+COUNTIF($D44:$AH44,[1]DATA!$F$16)/2)</f>
        <v/>
      </c>
      <c r="AL44" s="44" t="str">
        <f>IF($C44="","",(COUNTIF($D44:$AH44,[1]DATA!$F$8)+COUNTIF($D44:$AH44,[1]DATA!$F$17)/2)+COUNTIF($D44:$AH44,[1]DATA!$F$26)*2+COUNTIF($D44:$AH44,[1]DATA!$F$27)*3-AM44)</f>
        <v/>
      </c>
      <c r="AM44" s="44" t="str">
        <f t="shared" si="3"/>
        <v/>
      </c>
      <c r="AN44" s="43" t="str">
        <f>IF($C44="","",COUNTIF($D44:$AH44,[1]DATA!$F$9)+COUNTIF($D44:$AH44,[1]DATA!$F$18)/2)</f>
        <v/>
      </c>
      <c r="AO44" s="43" t="str">
        <f>IF($C44="","",COUNTIF($D44:$AH44,[1]DATA!$F$10)+COUNTIF($D44:$AH44,[1]DATA!$F$19)/2)</f>
        <v/>
      </c>
      <c r="AP44" s="43" t="str">
        <f>IF($C44="","",COUNTIF($D44:$AH44,[1]DATA!$F$11)+COUNTIF($D44:$AH44,[1]DATA!$F$20)/2)</f>
        <v/>
      </c>
      <c r="AQ44" s="43" t="str">
        <f>IF($C44="","",COUNTIF($D44:$AH44,[1]DATA!$F$12)+COUNTIF($D44:$AH44,[1]DATA!$F$21)/2)</f>
        <v/>
      </c>
      <c r="AR44" s="43" t="str">
        <f>IF($C44="","",COUNTIF($D44:$AH44,[1]DATA!$F$13)+COUNTIF($D44:$AH44,[1]DATA!$F$22)/2)</f>
        <v/>
      </c>
      <c r="AS44" s="43" t="str">
        <f>IF($C44="","",COUNTIF($D44:$AH44,[1]DATA!$F$14)+COUNTIF($D44:$AH44,[1]DATA!$F$23)/2)</f>
        <v/>
      </c>
      <c r="AT44" s="43" t="str">
        <f>IF($C44="","",COUNTIF($D44:$AH44,[1]DATA!$F$24)+COUNTIF($D44:$AH44,[1]DATA!$F$25)/2)</f>
        <v/>
      </c>
      <c r="AU44" s="49" t="str">
        <f t="shared" si="4"/>
        <v/>
      </c>
      <c r="AV44" s="49" t="str">
        <f t="shared" si="5"/>
        <v/>
      </c>
      <c r="AW44" s="53"/>
      <c r="AX44" s="56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</row>
    <row r="45" s="4" customFormat="1" ht="14.25" customHeight="1" spans="1:66">
      <c r="A45" s="24" t="str">
        <f>IF([1]PHEPNAM!A46="","",[1]PHEPNAM!A46)</f>
        <v/>
      </c>
      <c r="B45" s="25" t="str">
        <f>IF(AND([1]PHEPNAM!E46="",[1]PHEPNAM!Y46="@"),"",IF(AND([1]PHEPNAM!C46="",[1]PHEPNAM!Y46=2),2,[1]PHEPNAM!C46))</f>
        <v/>
      </c>
      <c r="C45" s="25" t="str">
        <f>IF([1]PHEPNAM!E46="","",[1]PHEPNAM!E46)</f>
        <v/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43" t="str">
        <f t="shared" si="2"/>
        <v/>
      </c>
      <c r="AJ45" s="43" t="str">
        <f>IF($C45="","",COUNTIF($D45:$AH45,[1]DATA!$F$6)+COUNTIF($D45:$AH45,[1]DATA!$F$15)/2)</f>
        <v/>
      </c>
      <c r="AK45" s="43" t="str">
        <f>IF($C45="","",COUNTIF($D45:$AH45,[1]DATA!$F$7)+COUNTIF($D45:$AH45,[1]DATA!$F$16)/2)</f>
        <v/>
      </c>
      <c r="AL45" s="44" t="str">
        <f>IF($C45="","",(COUNTIF($D45:$AH45,[1]DATA!$F$8)+COUNTIF($D45:$AH45,[1]DATA!$F$17)/2)+COUNTIF($D45:$AH45,[1]DATA!$F$26)*2+COUNTIF($D45:$AH45,[1]DATA!$F$27)*3-AM45)</f>
        <v/>
      </c>
      <c r="AM45" s="44" t="str">
        <f t="shared" si="3"/>
        <v/>
      </c>
      <c r="AN45" s="43" t="str">
        <f>IF($C45="","",COUNTIF($D45:$AH45,[1]DATA!$F$9)+COUNTIF($D45:$AH45,[1]DATA!$F$18)/2)</f>
        <v/>
      </c>
      <c r="AO45" s="43" t="str">
        <f>IF($C45="","",COUNTIF($D45:$AH45,[1]DATA!$F$10)+COUNTIF($D45:$AH45,[1]DATA!$F$19)/2)</f>
        <v/>
      </c>
      <c r="AP45" s="43" t="str">
        <f>IF($C45="","",COUNTIF($D45:$AH45,[1]DATA!$F$11)+COUNTIF($D45:$AH45,[1]DATA!$F$20)/2)</f>
        <v/>
      </c>
      <c r="AQ45" s="43" t="str">
        <f>IF($C45="","",COUNTIF($D45:$AH45,[1]DATA!$F$12)+COUNTIF($D45:$AH45,[1]DATA!$F$21)/2)</f>
        <v/>
      </c>
      <c r="AR45" s="43" t="str">
        <f>IF($C45="","",COUNTIF($D45:$AH45,[1]DATA!$F$13)+COUNTIF($D45:$AH45,[1]DATA!$F$22)/2)</f>
        <v/>
      </c>
      <c r="AS45" s="43" t="str">
        <f>IF($C45="","",COUNTIF($D45:$AH45,[1]DATA!$F$14)+COUNTIF($D45:$AH45,[1]DATA!$F$23)/2)</f>
        <v/>
      </c>
      <c r="AT45" s="43" t="str">
        <f>IF($C45="","",COUNTIF($D45:$AH45,[1]DATA!$F$24)+COUNTIF($D45:$AH45,[1]DATA!$F$25)/2)</f>
        <v/>
      </c>
      <c r="AU45" s="49" t="str">
        <f t="shared" si="4"/>
        <v/>
      </c>
      <c r="AV45" s="49" t="str">
        <f t="shared" si="5"/>
        <v/>
      </c>
      <c r="AW45" s="53"/>
      <c r="AX45" s="59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</row>
    <row r="46" s="3" customFormat="1" ht="14.25" customHeight="1" spans="1:66">
      <c r="A46" s="24" t="str">
        <f>IF([1]PHEPNAM!A47="","",[1]PHEPNAM!A47)</f>
        <v/>
      </c>
      <c r="B46" s="25" t="str">
        <f>IF(AND([1]PHEPNAM!E47="",[1]PHEPNAM!Y47="@"),"",IF(AND([1]PHEPNAM!C47="",[1]PHEPNAM!Y47=2),2,[1]PHEPNAM!C47))</f>
        <v/>
      </c>
      <c r="C46" s="25" t="str">
        <f>IF([1]PHEPNAM!E47="","",[1]PHEPNAM!E47)</f>
        <v/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43" t="str">
        <f t="shared" si="2"/>
        <v/>
      </c>
      <c r="AJ46" s="43" t="str">
        <f>IF($C46="","",COUNTIF($D46:$AH46,[1]DATA!$F$6)+COUNTIF($D46:$AH46,[1]DATA!$F$15)/2)</f>
        <v/>
      </c>
      <c r="AK46" s="43" t="str">
        <f>IF($C46="","",COUNTIF($D46:$AH46,[1]DATA!$F$7)+COUNTIF($D46:$AH46,[1]DATA!$F$16)/2)</f>
        <v/>
      </c>
      <c r="AL46" s="44" t="str">
        <f>IF($C46="","",(COUNTIF($D46:$AH46,[1]DATA!$F$8)+COUNTIF($D46:$AH46,[1]DATA!$F$17)/2)+COUNTIF($D46:$AH46,[1]DATA!$F$26)*2+COUNTIF($D46:$AH46,[1]DATA!$F$27)*3-AM46)</f>
        <v/>
      </c>
      <c r="AM46" s="44" t="str">
        <f t="shared" si="3"/>
        <v/>
      </c>
      <c r="AN46" s="43" t="str">
        <f>IF($C46="","",COUNTIF($D46:$AH46,[1]DATA!$F$9)+COUNTIF($D46:$AH46,[1]DATA!$F$18)/2)</f>
        <v/>
      </c>
      <c r="AO46" s="43" t="str">
        <f>IF($C46="","",COUNTIF($D46:$AH46,[1]DATA!$F$10)+COUNTIF($D46:$AH46,[1]DATA!$F$19)/2)</f>
        <v/>
      </c>
      <c r="AP46" s="43" t="str">
        <f>IF($C46="","",COUNTIF($D46:$AH46,[1]DATA!$F$11)+COUNTIF($D46:$AH46,[1]DATA!$F$20)/2)</f>
        <v/>
      </c>
      <c r="AQ46" s="43" t="str">
        <f>IF($C46="","",COUNTIF($D46:$AH46,[1]DATA!$F$12)+COUNTIF($D46:$AH46,[1]DATA!$F$21)/2)</f>
        <v/>
      </c>
      <c r="AR46" s="43" t="str">
        <f>IF($C46="","",COUNTIF($D46:$AH46,[1]DATA!$F$13)+COUNTIF($D46:$AH46,[1]DATA!$F$22)/2)</f>
        <v/>
      </c>
      <c r="AS46" s="43" t="str">
        <f>IF($C46="","",COUNTIF($D46:$AH46,[1]DATA!$F$14)+COUNTIF($D46:$AH46,[1]DATA!$F$23)/2)</f>
        <v/>
      </c>
      <c r="AT46" s="43" t="str">
        <f>IF($C46="","",COUNTIF($D46:$AH46,[1]DATA!$F$24)+COUNTIF($D46:$AH46,[1]DATA!$F$25)/2)</f>
        <v/>
      </c>
      <c r="AU46" s="49" t="str">
        <f t="shared" si="4"/>
        <v/>
      </c>
      <c r="AV46" s="49" t="str">
        <f t="shared" si="5"/>
        <v/>
      </c>
      <c r="AW46" s="53"/>
      <c r="AX46" s="56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</row>
    <row r="47" s="5" customFormat="1" ht="14.25" customHeight="1" spans="1:66">
      <c r="A47" s="24" t="str">
        <f>IF([1]PHEPNAM!A48="","",[1]PHEPNAM!A48)</f>
        <v/>
      </c>
      <c r="B47" s="25" t="str">
        <f>IF(AND([1]PHEPNAM!E48="",[1]PHEPNAM!Y48="@"),"",IF(AND([1]PHEPNAM!C48="",[1]PHEPNAM!Y48=2),2,[1]PHEPNAM!C48))</f>
        <v/>
      </c>
      <c r="C47" s="25" t="str">
        <f>IF([1]PHEPNAM!E48="","",[1]PHEPNAM!E48)</f>
        <v/>
      </c>
      <c r="D47" s="29"/>
      <c r="E47" s="29"/>
      <c r="F47" s="29"/>
      <c r="G47" s="29"/>
      <c r="H47" s="29"/>
      <c r="I47" s="29"/>
      <c r="J47" s="29"/>
      <c r="K47" s="29"/>
      <c r="L47" s="29"/>
      <c r="M47" s="30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43" t="str">
        <f t="shared" si="2"/>
        <v/>
      </c>
      <c r="AJ47" s="43" t="str">
        <f>IF($C47="","",COUNTIF($D47:$AH47,[1]DATA!$F$6)+COUNTIF($D47:$AH47,[1]DATA!$F$15)/2)</f>
        <v/>
      </c>
      <c r="AK47" s="43" t="str">
        <f>IF($C47="","",COUNTIF($D47:$AH47,[1]DATA!$F$7)+COUNTIF($D47:$AH47,[1]DATA!$F$16)/2)</f>
        <v/>
      </c>
      <c r="AL47" s="44" t="str">
        <f>IF($C47="","",(COUNTIF($D47:$AH47,[1]DATA!$F$8)+COUNTIF($D47:$AH47,[1]DATA!$F$17)/2)+COUNTIF($D47:$AH47,[1]DATA!$F$26)*2+COUNTIF($D47:$AH47,[1]DATA!$F$27)*3-AM47)</f>
        <v/>
      </c>
      <c r="AM47" s="44" t="str">
        <f t="shared" si="3"/>
        <v/>
      </c>
      <c r="AN47" s="43" t="str">
        <f>IF($C47="","",COUNTIF($D47:$AH47,[1]DATA!$F$9)+COUNTIF($D47:$AH47,[1]DATA!$F$18)/2)</f>
        <v/>
      </c>
      <c r="AO47" s="43" t="str">
        <f>IF($C47="","",COUNTIF($D47:$AH47,[1]DATA!$F$10)+COUNTIF($D47:$AH47,[1]DATA!$F$19)/2)</f>
        <v/>
      </c>
      <c r="AP47" s="43" t="str">
        <f>IF($C47="","",COUNTIF($D47:$AH47,[1]DATA!$F$11)+COUNTIF($D47:$AH47,[1]DATA!$F$20)/2)</f>
        <v/>
      </c>
      <c r="AQ47" s="43" t="str">
        <f>IF($C47="","",COUNTIF($D47:$AH47,[1]DATA!$F$12)+COUNTIF($D47:$AH47,[1]DATA!$F$21)/2)</f>
        <v/>
      </c>
      <c r="AR47" s="43" t="str">
        <f>IF($C47="","",COUNTIF($D47:$AH47,[1]DATA!$F$13)+COUNTIF($D47:$AH47,[1]DATA!$F$22)/2)</f>
        <v/>
      </c>
      <c r="AS47" s="43" t="str">
        <f>IF($C47="","",COUNTIF($D47:$AH47,[1]DATA!$F$14)+COUNTIF($D47:$AH47,[1]DATA!$F$23)/2)</f>
        <v/>
      </c>
      <c r="AT47" s="43" t="str">
        <f>IF($C47="","",COUNTIF($D47:$AH47,[1]DATA!$F$24)+COUNTIF($D47:$AH47,[1]DATA!$F$25)/2)</f>
        <v/>
      </c>
      <c r="AU47" s="49" t="str">
        <f t="shared" si="4"/>
        <v/>
      </c>
      <c r="AV47" s="49" t="str">
        <f t="shared" si="5"/>
        <v/>
      </c>
      <c r="AW47" s="53"/>
      <c r="AX47" s="56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</row>
    <row r="48" s="5" customFormat="1" ht="14.25" customHeight="1" spans="1:66">
      <c r="A48" s="24" t="str">
        <f>IF([1]PHEPNAM!A49="","",[1]PHEPNAM!A49)</f>
        <v/>
      </c>
      <c r="B48" s="25" t="str">
        <f>IF(AND([1]PHEPNAM!E49="",[1]PHEPNAM!Y49="@"),"",IF(AND([1]PHEPNAM!C49="",[1]PHEPNAM!Y49=2),2,[1]PHEPNAM!C49))</f>
        <v/>
      </c>
      <c r="C48" s="25" t="str">
        <f>IF([1]PHEPNAM!E49="","",[1]PHEPNAM!E49)</f>
        <v/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43" t="str">
        <f t="shared" si="2"/>
        <v/>
      </c>
      <c r="AJ48" s="43" t="str">
        <f>IF($C48="","",COUNTIF($D48:$AH48,[1]DATA!$F$6)+COUNTIF($D48:$AH48,[1]DATA!$F$15)/2)</f>
        <v/>
      </c>
      <c r="AK48" s="43" t="str">
        <f>IF($C48="","",COUNTIF($D48:$AH48,[1]DATA!$F$7)+COUNTIF($D48:$AH48,[1]DATA!$F$16)/2)</f>
        <v/>
      </c>
      <c r="AL48" s="44" t="str">
        <f>IF($C48="","",(COUNTIF($D48:$AH48,[1]DATA!$F$8)+COUNTIF($D48:$AH48,[1]DATA!$F$17)/2)+COUNTIF($D48:$AH48,[1]DATA!$F$26)*2+COUNTIF($D48:$AH48,[1]DATA!$F$27)*3-AM48)</f>
        <v/>
      </c>
      <c r="AM48" s="44" t="str">
        <f t="shared" si="3"/>
        <v/>
      </c>
      <c r="AN48" s="43" t="str">
        <f>IF($C48="","",COUNTIF($D48:$AH48,[1]DATA!$F$9)+COUNTIF($D48:$AH48,[1]DATA!$F$18)/2)</f>
        <v/>
      </c>
      <c r="AO48" s="43" t="str">
        <f>IF($C48="","",COUNTIF($D48:$AH48,[1]DATA!$F$10)+COUNTIF($D48:$AH48,[1]DATA!$F$19)/2)</f>
        <v/>
      </c>
      <c r="AP48" s="43" t="str">
        <f>IF($C48="","",COUNTIF($D48:$AH48,[1]DATA!$F$11)+COUNTIF($D48:$AH48,[1]DATA!$F$20)/2)</f>
        <v/>
      </c>
      <c r="AQ48" s="43" t="str">
        <f>IF($C48="","",COUNTIF($D48:$AH48,[1]DATA!$F$12)+COUNTIF($D48:$AH48,[1]DATA!$F$21)/2)</f>
        <v/>
      </c>
      <c r="AR48" s="43" t="str">
        <f>IF($C48="","",COUNTIF($D48:$AH48,[1]DATA!$F$13)+COUNTIF($D48:$AH48,[1]DATA!$F$22)/2)</f>
        <v/>
      </c>
      <c r="AS48" s="43" t="str">
        <f>IF($C48="","",COUNTIF($D48:$AH48,[1]DATA!$F$14)+COUNTIF($D48:$AH48,[1]DATA!$F$23)/2)</f>
        <v/>
      </c>
      <c r="AT48" s="43" t="str">
        <f>IF($C48="","",COUNTIF($D48:$AH48,[1]DATA!$F$24)+COUNTIF($D48:$AH48,[1]DATA!$F$25)/2)</f>
        <v/>
      </c>
      <c r="AU48" s="49" t="str">
        <f t="shared" si="4"/>
        <v/>
      </c>
      <c r="AV48" s="49" t="str">
        <f t="shared" si="5"/>
        <v/>
      </c>
      <c r="AW48" s="53"/>
      <c r="AX48" s="56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</row>
    <row r="49" s="5" customFormat="1" ht="14.25" customHeight="1" spans="1:66">
      <c r="A49" s="24" t="str">
        <f>IF([1]PHEPNAM!A50="","",[1]PHEPNAM!A50)</f>
        <v/>
      </c>
      <c r="B49" s="25" t="str">
        <f>IF(AND([1]PHEPNAM!E50="",[1]PHEPNAM!Y50="@"),"",IF(AND([1]PHEPNAM!C50="",[1]PHEPNAM!Y50=2),2,[1]PHEPNAM!C50))</f>
        <v/>
      </c>
      <c r="C49" s="25" t="str">
        <f>IF([1]PHEPNAM!E50="","",[1]PHEPNAM!E50)</f>
        <v/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43" t="str">
        <f t="shared" si="2"/>
        <v/>
      </c>
      <c r="AJ49" s="43" t="str">
        <f>IF($C49="","",COUNTIF($D49:$AH49,[1]DATA!$F$6)+COUNTIF($D49:$AH49,[1]DATA!$F$15)/2)</f>
        <v/>
      </c>
      <c r="AK49" s="43" t="str">
        <f>IF($C49="","",COUNTIF($D49:$AH49,[1]DATA!$F$7)+COUNTIF($D49:$AH49,[1]DATA!$F$16)/2)</f>
        <v/>
      </c>
      <c r="AL49" s="44" t="str">
        <f>IF($C49="","",(COUNTIF($D49:$AH49,[1]DATA!$F$8)+COUNTIF($D49:$AH49,[1]DATA!$F$17)/2)+COUNTIF($D49:$AH49,[1]DATA!$F$26)*2+COUNTIF($D49:$AH49,[1]DATA!$F$27)*3-AM49)</f>
        <v/>
      </c>
      <c r="AM49" s="44" t="str">
        <f t="shared" si="3"/>
        <v/>
      </c>
      <c r="AN49" s="43" t="str">
        <f>IF($C49="","",COUNTIF($D49:$AH49,[1]DATA!$F$9)+COUNTIF($D49:$AH49,[1]DATA!$F$18)/2)</f>
        <v/>
      </c>
      <c r="AO49" s="43" t="str">
        <f>IF($C49="","",COUNTIF($D49:$AH49,[1]DATA!$F$10)+COUNTIF($D49:$AH49,[1]DATA!$F$19)/2)</f>
        <v/>
      </c>
      <c r="AP49" s="43" t="str">
        <f>IF($C49="","",COUNTIF($D49:$AH49,[1]DATA!$F$11)+COUNTIF($D49:$AH49,[1]DATA!$F$20)/2)</f>
        <v/>
      </c>
      <c r="AQ49" s="43" t="str">
        <f>IF($C49="","",COUNTIF($D49:$AH49,[1]DATA!$F$12)+COUNTIF($D49:$AH49,[1]DATA!$F$21)/2)</f>
        <v/>
      </c>
      <c r="AR49" s="43" t="str">
        <f>IF($C49="","",COUNTIF($D49:$AH49,[1]DATA!$F$13)+COUNTIF($D49:$AH49,[1]DATA!$F$22)/2)</f>
        <v/>
      </c>
      <c r="AS49" s="43" t="str">
        <f>IF($C49="","",COUNTIF($D49:$AH49,[1]DATA!$F$14)+COUNTIF($D49:$AH49,[1]DATA!$F$23)/2)</f>
        <v/>
      </c>
      <c r="AT49" s="43" t="str">
        <f>IF($C49="","",COUNTIF($D49:$AH49,[1]DATA!$F$24)+COUNTIF($D49:$AH49,[1]DATA!$F$25)/2)</f>
        <v/>
      </c>
      <c r="AU49" s="49" t="str">
        <f t="shared" si="4"/>
        <v/>
      </c>
      <c r="AV49" s="49" t="str">
        <f t="shared" si="5"/>
        <v/>
      </c>
      <c r="AW49" s="53"/>
      <c r="AX49" s="56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</row>
    <row r="50" s="5" customFormat="1" ht="14.25" customHeight="1" spans="1:66">
      <c r="A50" s="24" t="str">
        <f>IF([1]PHEPNAM!A51="","",[1]PHEPNAM!A51)</f>
        <v/>
      </c>
      <c r="B50" s="25" t="str">
        <f>IF(AND([1]PHEPNAM!E51="",[1]PHEPNAM!Y51="@"),"",IF(AND([1]PHEPNAM!C51="",[1]PHEPNAM!Y51=2),2,[1]PHEPNAM!C51))</f>
        <v/>
      </c>
      <c r="C50" s="25" t="str">
        <f>IF([1]PHEPNAM!E51="","",[1]PHEPNAM!E51)</f>
        <v/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43" t="str">
        <f t="shared" si="2"/>
        <v/>
      </c>
      <c r="AJ50" s="43" t="str">
        <f>IF($C50="","",COUNTIF($D50:$AH50,[1]DATA!$F$6)+COUNTIF($D50:$AH50,[1]DATA!$F$15)/2)</f>
        <v/>
      </c>
      <c r="AK50" s="43" t="str">
        <f>IF($C50="","",COUNTIF($D50:$AH50,[1]DATA!$F$7)+COUNTIF($D50:$AH50,[1]DATA!$F$16)/2)</f>
        <v/>
      </c>
      <c r="AL50" s="44" t="str">
        <f>IF($C50="","",(COUNTIF($D50:$AH50,[1]DATA!$F$8)+COUNTIF($D50:$AH50,[1]DATA!$F$17)/2)+COUNTIF($D50:$AH50,[1]DATA!$F$26)*2+COUNTIF($D50:$AH50,[1]DATA!$F$27)*3-AM50)</f>
        <v/>
      </c>
      <c r="AM50" s="44" t="str">
        <f t="shared" si="3"/>
        <v/>
      </c>
      <c r="AN50" s="43" t="str">
        <f>IF($C50="","",COUNTIF($D50:$AH50,[1]DATA!$F$9)+COUNTIF($D50:$AH50,[1]DATA!$F$18)/2)</f>
        <v/>
      </c>
      <c r="AO50" s="43" t="str">
        <f>IF($C50="","",COUNTIF($D50:$AH50,[1]DATA!$F$10)+COUNTIF($D50:$AH50,[1]DATA!$F$19)/2)</f>
        <v/>
      </c>
      <c r="AP50" s="43" t="str">
        <f>IF($C50="","",COUNTIF($D50:$AH50,[1]DATA!$F$11)+COUNTIF($D50:$AH50,[1]DATA!$F$20)/2)</f>
        <v/>
      </c>
      <c r="AQ50" s="43" t="str">
        <f>IF($C50="","",COUNTIF($D50:$AH50,[1]DATA!$F$12)+COUNTIF($D50:$AH50,[1]DATA!$F$21)/2)</f>
        <v/>
      </c>
      <c r="AR50" s="43" t="str">
        <f>IF($C50="","",COUNTIF($D50:$AH50,[1]DATA!$F$13)+COUNTIF($D50:$AH50,[1]DATA!$F$22)/2)</f>
        <v/>
      </c>
      <c r="AS50" s="43" t="str">
        <f>IF($C50="","",COUNTIF($D50:$AH50,[1]DATA!$F$14)+COUNTIF($D50:$AH50,[1]DATA!$F$23)/2)</f>
        <v/>
      </c>
      <c r="AT50" s="43" t="str">
        <f>IF($C50="","",COUNTIF($D50:$AH50,[1]DATA!$F$24)+COUNTIF($D50:$AH50,[1]DATA!$F$25)/2)</f>
        <v/>
      </c>
      <c r="AU50" s="49" t="str">
        <f t="shared" si="4"/>
        <v/>
      </c>
      <c r="AV50" s="49" t="str">
        <f t="shared" si="5"/>
        <v/>
      </c>
      <c r="AW50" s="53"/>
      <c r="AX50" s="56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</row>
    <row r="51" s="5" customFormat="1" ht="14.25" customHeight="1" spans="1:66">
      <c r="A51" s="24" t="str">
        <f>IF([1]PHEPNAM!A52="","",[1]PHEPNAM!A52)</f>
        <v/>
      </c>
      <c r="B51" s="25" t="str">
        <f>IF(AND([1]PHEPNAM!E52="",[1]PHEPNAM!Y52="@"),"",IF(AND([1]PHEPNAM!C52="",[1]PHEPNAM!Y52=2),2,[1]PHEPNAM!C52))</f>
        <v/>
      </c>
      <c r="C51" s="25" t="str">
        <f>IF([1]PHEPNAM!E52="","",[1]PHEPNAM!E52)</f>
        <v/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43" t="str">
        <f t="shared" si="2"/>
        <v/>
      </c>
      <c r="AJ51" s="43" t="str">
        <f>IF($C51="","",COUNTIF($D51:$AH51,[1]DATA!$F$6)+COUNTIF($D51:$AH51,[1]DATA!$F$15)/2)</f>
        <v/>
      </c>
      <c r="AK51" s="43" t="str">
        <f>IF($C51="","",COUNTIF($D51:$AH51,[1]DATA!$F$7)+COUNTIF($D51:$AH51,[1]DATA!$F$16)/2)</f>
        <v/>
      </c>
      <c r="AL51" s="44" t="str">
        <f>IF($C51="","",(COUNTIF($D51:$AH51,[1]DATA!$F$8)+COUNTIF($D51:$AH51,[1]DATA!$F$17)/2)+COUNTIF($D51:$AH51,[1]DATA!$F$26)*2+COUNTIF($D51:$AH51,[1]DATA!$F$27)*3-AM51)</f>
        <v/>
      </c>
      <c r="AM51" s="44" t="str">
        <f t="shared" si="3"/>
        <v/>
      </c>
      <c r="AN51" s="43" t="str">
        <f>IF($C51="","",COUNTIF($D51:$AH51,[1]DATA!$F$9)+COUNTIF($D51:$AH51,[1]DATA!$F$18)/2)</f>
        <v/>
      </c>
      <c r="AO51" s="43" t="str">
        <f>IF($C51="","",COUNTIF($D51:$AH51,[1]DATA!$F$10)+COUNTIF($D51:$AH51,[1]DATA!$F$19)/2)</f>
        <v/>
      </c>
      <c r="AP51" s="43" t="str">
        <f>IF($C51="","",COUNTIF($D51:$AH51,[1]DATA!$F$11)+COUNTIF($D51:$AH51,[1]DATA!$F$20)/2)</f>
        <v/>
      </c>
      <c r="AQ51" s="43" t="str">
        <f>IF($C51="","",COUNTIF($D51:$AH51,[1]DATA!$F$12)+COUNTIF($D51:$AH51,[1]DATA!$F$21)/2)</f>
        <v/>
      </c>
      <c r="AR51" s="43" t="str">
        <f>IF($C51="","",COUNTIF($D51:$AH51,[1]DATA!$F$13)+COUNTIF($D51:$AH51,[1]DATA!$F$22)/2)</f>
        <v/>
      </c>
      <c r="AS51" s="43" t="str">
        <f>IF($C51="","",COUNTIF($D51:$AH51,[1]DATA!$F$14)+COUNTIF($D51:$AH51,[1]DATA!$F$23)/2)</f>
        <v/>
      </c>
      <c r="AT51" s="43" t="str">
        <f>IF($C51="","",COUNTIF($D51:$AH51,[1]DATA!$F$24)+COUNTIF($D51:$AH51,[1]DATA!$F$25)/2)</f>
        <v/>
      </c>
      <c r="AU51" s="49" t="str">
        <f t="shared" si="4"/>
        <v/>
      </c>
      <c r="AV51" s="49" t="str">
        <f t="shared" si="5"/>
        <v/>
      </c>
      <c r="AW51" s="53"/>
      <c r="AX51" s="56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</row>
    <row r="52" s="5" customFormat="1" ht="14.25" customHeight="1" spans="1:66">
      <c r="A52" s="24" t="str">
        <f>IF([1]PHEPNAM!A53="","",[1]PHEPNAM!A53)</f>
        <v/>
      </c>
      <c r="B52" s="25" t="str">
        <f>IF(AND([1]PHEPNAM!E53="",[1]PHEPNAM!Y53="@"),"",IF(AND([1]PHEPNAM!C53="",[1]PHEPNAM!Y53=2),2,[1]PHEPNAM!C53))</f>
        <v/>
      </c>
      <c r="C52" s="25" t="str">
        <f>IF([1]PHEPNAM!E53="","",[1]PHEPNAM!E53)</f>
        <v/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43" t="str">
        <f t="shared" si="2"/>
        <v/>
      </c>
      <c r="AJ52" s="43" t="str">
        <f>IF($C52="","",COUNTIF($D52:$AH52,[1]DATA!$F$6)+COUNTIF($D52:$AH52,[1]DATA!$F$15)/2)</f>
        <v/>
      </c>
      <c r="AK52" s="43" t="str">
        <f>IF($C52="","",COUNTIF($D52:$AH52,[1]DATA!$F$7)+COUNTIF($D52:$AH52,[1]DATA!$F$16)/2)</f>
        <v/>
      </c>
      <c r="AL52" s="44" t="str">
        <f>IF($C52="","",(COUNTIF($D52:$AH52,[1]DATA!$F$8)+COUNTIF($D52:$AH52,[1]DATA!$F$17)/2)+COUNTIF($D52:$AH52,[1]DATA!$F$26)*2+COUNTIF($D52:$AH52,[1]DATA!$F$27)*3-AM52)</f>
        <v/>
      </c>
      <c r="AM52" s="44" t="str">
        <f t="shared" si="3"/>
        <v/>
      </c>
      <c r="AN52" s="43" t="str">
        <f>IF($C52="","",COUNTIF($D52:$AH52,[1]DATA!$F$9)+COUNTIF($D52:$AH52,[1]DATA!$F$18)/2)</f>
        <v/>
      </c>
      <c r="AO52" s="43" t="str">
        <f>IF($C52="","",COUNTIF($D52:$AH52,[1]DATA!$F$10)+COUNTIF($D52:$AH52,[1]DATA!$F$19)/2)</f>
        <v/>
      </c>
      <c r="AP52" s="43" t="str">
        <f>IF($C52="","",COUNTIF($D52:$AH52,[1]DATA!$F$11)+COUNTIF($D52:$AH52,[1]DATA!$F$20)/2)</f>
        <v/>
      </c>
      <c r="AQ52" s="43" t="str">
        <f>IF($C52="","",COUNTIF($D52:$AH52,[1]DATA!$F$12)+COUNTIF($D52:$AH52,[1]DATA!$F$21)/2)</f>
        <v/>
      </c>
      <c r="AR52" s="43" t="str">
        <f>IF($C52="","",COUNTIF($D52:$AH52,[1]DATA!$F$13)+COUNTIF($D52:$AH52,[1]DATA!$F$22)/2)</f>
        <v/>
      </c>
      <c r="AS52" s="43" t="str">
        <f>IF($C52="","",COUNTIF($D52:$AH52,[1]DATA!$F$14)+COUNTIF($D52:$AH52,[1]DATA!$F$23)/2)</f>
        <v/>
      </c>
      <c r="AT52" s="43" t="str">
        <f>IF($C52="","",COUNTIF($D52:$AH52,[1]DATA!$F$24)+COUNTIF($D52:$AH52,[1]DATA!$F$25)/2)</f>
        <v/>
      </c>
      <c r="AU52" s="49" t="str">
        <f t="shared" si="4"/>
        <v/>
      </c>
      <c r="AV52" s="49" t="str">
        <f t="shared" si="5"/>
        <v/>
      </c>
      <c r="AW52" s="53"/>
      <c r="AX52" s="56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</row>
    <row r="53" s="6" customFormat="1" ht="14.25" customHeight="1" spans="1:66">
      <c r="A53" s="24" t="str">
        <f>IF([1]PHEPNAM!A54="","",[1]PHEPNAM!A54)</f>
        <v/>
      </c>
      <c r="B53" s="25" t="str">
        <f>IF(AND([1]PHEPNAM!E54="",[1]PHEPNAM!Y54="@"),"",IF(AND([1]PHEPNAM!C54="",[1]PHEPNAM!Y54=2),2,[1]PHEPNAM!C54))</f>
        <v/>
      </c>
      <c r="C53" s="25" t="str">
        <f>IF([1]PHEPNAM!E54="","",[1]PHEPNAM!E54)</f>
        <v/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43" t="str">
        <f t="shared" si="2"/>
        <v/>
      </c>
      <c r="AJ53" s="43" t="str">
        <f>IF($C53="","",COUNTIF($D53:$AH53,[1]DATA!$F$6)+COUNTIF($D53:$AH53,[1]DATA!$F$15)/2)</f>
        <v/>
      </c>
      <c r="AK53" s="43" t="str">
        <f>IF($C53="","",COUNTIF($D53:$AH53,[1]DATA!$F$7)+COUNTIF($D53:$AH53,[1]DATA!$F$16)/2)</f>
        <v/>
      </c>
      <c r="AL53" s="44" t="str">
        <f>IF($C53="","",(COUNTIF($D53:$AH53,[1]DATA!$F$8)+COUNTIF($D53:$AH53,[1]DATA!$F$17)/2)+COUNTIF($D53:$AH53,[1]DATA!$F$26)*2+COUNTIF($D53:$AH53,[1]DATA!$F$27)*3-AM53)</f>
        <v/>
      </c>
      <c r="AM53" s="44" t="str">
        <f t="shared" si="3"/>
        <v/>
      </c>
      <c r="AN53" s="43" t="str">
        <f>IF($C53="","",COUNTIF($D53:$AH53,[1]DATA!$F$9)+COUNTIF($D53:$AH53,[1]DATA!$F$18)/2)</f>
        <v/>
      </c>
      <c r="AO53" s="43" t="str">
        <f>IF($C53="","",COUNTIF($D53:$AH53,[1]DATA!$F$10)+COUNTIF($D53:$AH53,[1]DATA!$F$19)/2)</f>
        <v/>
      </c>
      <c r="AP53" s="43" t="str">
        <f>IF($C53="","",COUNTIF($D53:$AH53,[1]DATA!$F$11)+COUNTIF($D53:$AH53,[1]DATA!$F$20)/2)</f>
        <v/>
      </c>
      <c r="AQ53" s="43" t="str">
        <f>IF($C53="","",COUNTIF($D53:$AH53,[1]DATA!$F$12)+COUNTIF($D53:$AH53,[1]DATA!$F$21)/2)</f>
        <v/>
      </c>
      <c r="AR53" s="43" t="str">
        <f>IF($C53="","",COUNTIF($D53:$AH53,[1]DATA!$F$13)+COUNTIF($D53:$AH53,[1]DATA!$F$22)/2)</f>
        <v/>
      </c>
      <c r="AS53" s="43" t="str">
        <f>IF($C53="","",COUNTIF($D53:$AH53,[1]DATA!$F$14)+COUNTIF($D53:$AH53,[1]DATA!$F$23)/2)</f>
        <v/>
      </c>
      <c r="AT53" s="43" t="str">
        <f>IF($C53="","",COUNTIF($D53:$AH53,[1]DATA!$F$24)+COUNTIF($D53:$AH53,[1]DATA!$F$25)/2)</f>
        <v/>
      </c>
      <c r="AU53" s="49" t="str">
        <f t="shared" si="4"/>
        <v/>
      </c>
      <c r="AV53" s="49" t="str">
        <f t="shared" si="5"/>
        <v/>
      </c>
      <c r="AW53" s="53"/>
      <c r="AX53" s="62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</row>
    <row r="54" s="3" customFormat="1" ht="14.25" customHeight="1" spans="1:66">
      <c r="A54" s="24" t="str">
        <f>IF([1]PHEPNAM!A55="","",[1]PHEPNAM!A55)</f>
        <v/>
      </c>
      <c r="B54" s="25" t="str">
        <f>IF(AND([1]PHEPNAM!E55="",[1]PHEPNAM!Y55="@"),"",IF(AND([1]PHEPNAM!C55="",[1]PHEPNAM!Y55=2),2,[1]PHEPNAM!C55))</f>
        <v/>
      </c>
      <c r="C54" s="25" t="str">
        <f>IF([1]PHEPNAM!E55="","",[1]PHEPNAM!E55)</f>
        <v/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43" t="str">
        <f t="shared" si="2"/>
        <v/>
      </c>
      <c r="AJ54" s="43" t="str">
        <f>IF($C54="","",COUNTIF($D54:$AH54,[1]DATA!$F$6)+COUNTIF($D54:$AH54,[1]DATA!$F$15)/2)</f>
        <v/>
      </c>
      <c r="AK54" s="43" t="str">
        <f>IF($C54="","",COUNTIF($D54:$AH54,[1]DATA!$F$7)+COUNTIF($D54:$AH54,[1]DATA!$F$16)/2)</f>
        <v/>
      </c>
      <c r="AL54" s="44" t="str">
        <f>IF($C54="","",(COUNTIF($D54:$AH54,[1]DATA!$F$8)+COUNTIF($D54:$AH54,[1]DATA!$F$17)/2)+COUNTIF($D54:$AH54,[1]DATA!$F$26)*2+COUNTIF($D54:$AH54,[1]DATA!$F$27)*3-AM54)</f>
        <v/>
      </c>
      <c r="AM54" s="44" t="str">
        <f t="shared" si="3"/>
        <v/>
      </c>
      <c r="AN54" s="43" t="str">
        <f>IF($C54="","",COUNTIF($D54:$AH54,[1]DATA!$F$9)+COUNTIF($D54:$AH54,[1]DATA!$F$18)/2)</f>
        <v/>
      </c>
      <c r="AO54" s="43" t="str">
        <f>IF($C54="","",COUNTIF($D54:$AH54,[1]DATA!$F$10)+COUNTIF($D54:$AH54,[1]DATA!$F$19)/2)</f>
        <v/>
      </c>
      <c r="AP54" s="43" t="str">
        <f>IF($C54="","",COUNTIF($D54:$AH54,[1]DATA!$F$11)+COUNTIF($D54:$AH54,[1]DATA!$F$20)/2)</f>
        <v/>
      </c>
      <c r="AQ54" s="43" t="str">
        <f>IF($C54="","",COUNTIF($D54:$AH54,[1]DATA!$F$12)+COUNTIF($D54:$AH54,[1]DATA!$F$21)/2)</f>
        <v/>
      </c>
      <c r="AR54" s="43" t="str">
        <f>IF($C54="","",COUNTIF($D54:$AH54,[1]DATA!$F$13)+COUNTIF($D54:$AH54,[1]DATA!$F$22)/2)</f>
        <v/>
      </c>
      <c r="AS54" s="43" t="str">
        <f>IF($C54="","",COUNTIF($D54:$AH54,[1]DATA!$F$14)+COUNTIF($D54:$AH54,[1]DATA!$F$23)/2)</f>
        <v/>
      </c>
      <c r="AT54" s="43" t="str">
        <f>IF($C54="","",COUNTIF($D54:$AH54,[1]DATA!$F$24)+COUNTIF($D54:$AH54,[1]DATA!$F$25)/2)</f>
        <v/>
      </c>
      <c r="AU54" s="49" t="str">
        <f t="shared" si="4"/>
        <v/>
      </c>
      <c r="AV54" s="49" t="str">
        <f t="shared" si="5"/>
        <v/>
      </c>
      <c r="AW54" s="53"/>
      <c r="AX54" s="56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</row>
    <row r="55" s="3" customFormat="1" ht="14.25" customHeight="1" spans="1:66">
      <c r="A55" s="24" t="str">
        <f>IF([1]PHEPNAM!A56="","",[1]PHEPNAM!A56)</f>
        <v/>
      </c>
      <c r="B55" s="25" t="str">
        <f>IF(AND([1]PHEPNAM!E56="",[1]PHEPNAM!Y56="@"),"",IF(AND([1]PHEPNAM!C56="",[1]PHEPNAM!Y56=2),2,[1]PHEPNAM!C56))</f>
        <v/>
      </c>
      <c r="C55" s="25" t="str">
        <f>IF([1]PHEPNAM!E56="","",[1]PHEPNAM!E56)</f>
        <v/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43" t="str">
        <f t="shared" si="2"/>
        <v/>
      </c>
      <c r="AJ55" s="43" t="str">
        <f>IF($C55="","",COUNTIF($D55:$AH55,[1]DATA!$F$6)+COUNTIF($D55:$AH55,[1]DATA!$F$15)/2)</f>
        <v/>
      </c>
      <c r="AK55" s="43" t="str">
        <f>IF($C55="","",COUNTIF($D55:$AH55,[1]DATA!$F$7)+COUNTIF($D55:$AH55,[1]DATA!$F$16)/2)</f>
        <v/>
      </c>
      <c r="AL55" s="44" t="str">
        <f>IF($C55="","",(COUNTIF($D55:$AH55,[1]DATA!$F$8)+COUNTIF($D55:$AH55,[1]DATA!$F$17)/2)+COUNTIF($D55:$AH55,[1]DATA!$F$26)*2+COUNTIF($D55:$AH55,[1]DATA!$F$27)*3-AM55)</f>
        <v/>
      </c>
      <c r="AM55" s="44" t="str">
        <f t="shared" si="3"/>
        <v/>
      </c>
      <c r="AN55" s="43" t="str">
        <f>IF($C55="","",COUNTIF($D55:$AH55,[1]DATA!$F$9)+COUNTIF($D55:$AH55,[1]DATA!$F$18)/2)</f>
        <v/>
      </c>
      <c r="AO55" s="43" t="str">
        <f>IF($C55="","",COUNTIF($D55:$AH55,[1]DATA!$F$10)+COUNTIF($D55:$AH55,[1]DATA!$F$19)/2)</f>
        <v/>
      </c>
      <c r="AP55" s="43" t="str">
        <f>IF($C55="","",COUNTIF($D55:$AH55,[1]DATA!$F$11)+COUNTIF($D55:$AH55,[1]DATA!$F$20)/2)</f>
        <v/>
      </c>
      <c r="AQ55" s="43" t="str">
        <f>IF($C55="","",COUNTIF($D55:$AH55,[1]DATA!$F$12)+COUNTIF($D55:$AH55,[1]DATA!$F$21)/2)</f>
        <v/>
      </c>
      <c r="AR55" s="43" t="str">
        <f>IF($C55="","",COUNTIF($D55:$AH55,[1]DATA!$F$13)+COUNTIF($D55:$AH55,[1]DATA!$F$22)/2)</f>
        <v/>
      </c>
      <c r="AS55" s="43" t="str">
        <f>IF($C55="","",COUNTIF($D55:$AH55,[1]DATA!$F$14)+COUNTIF($D55:$AH55,[1]DATA!$F$23)/2)</f>
        <v/>
      </c>
      <c r="AT55" s="43" t="str">
        <f>IF($C55="","",COUNTIF($D55:$AH55,[1]DATA!$F$24)+COUNTIF($D55:$AH55,[1]DATA!$F$25)/2)</f>
        <v/>
      </c>
      <c r="AU55" s="49" t="str">
        <f t="shared" si="4"/>
        <v/>
      </c>
      <c r="AV55" s="49" t="str">
        <f t="shared" si="5"/>
        <v/>
      </c>
      <c r="AW55" s="53"/>
      <c r="AX55" s="56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</row>
    <row r="56" s="3" customFormat="1" ht="14.25" customHeight="1" spans="1:66">
      <c r="A56" s="24" t="str">
        <f>IF([1]PHEPNAM!A57="","",[1]PHEPNAM!A57)</f>
        <v/>
      </c>
      <c r="B56" s="25" t="str">
        <f>IF(AND([1]PHEPNAM!E57="",[1]PHEPNAM!Y57="@"),"",IF(AND([1]PHEPNAM!C57="",[1]PHEPNAM!Y57=2),2,[1]PHEPNAM!C57))</f>
        <v/>
      </c>
      <c r="C56" s="25" t="str">
        <f>IF([1]PHEPNAM!E57="","",[1]PHEPNAM!E57)</f>
        <v/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43" t="str">
        <f t="shared" si="2"/>
        <v/>
      </c>
      <c r="AJ56" s="43" t="str">
        <f>IF($C56="","",COUNTIF($D56:$AH56,[1]DATA!$F$6)+COUNTIF($D56:$AH56,[1]DATA!$F$15)/2)</f>
        <v/>
      </c>
      <c r="AK56" s="43" t="str">
        <f>IF($C56="","",COUNTIF($D56:$AH56,[1]DATA!$F$7)+COUNTIF($D56:$AH56,[1]DATA!$F$16)/2)</f>
        <v/>
      </c>
      <c r="AL56" s="44" t="str">
        <f>IF($C56="","",(COUNTIF($D56:$AH56,[1]DATA!$F$8)+COUNTIF($D56:$AH56,[1]DATA!$F$17)/2)+COUNTIF($D56:$AH56,[1]DATA!$F$26)*2+COUNTIF($D56:$AH56,[1]DATA!$F$27)*3-AM56)</f>
        <v/>
      </c>
      <c r="AM56" s="44" t="str">
        <f t="shared" si="3"/>
        <v/>
      </c>
      <c r="AN56" s="43" t="str">
        <f>IF($C56="","",COUNTIF($D56:$AH56,[1]DATA!$F$9)+COUNTIF($D56:$AH56,[1]DATA!$F$18)/2)</f>
        <v/>
      </c>
      <c r="AO56" s="43" t="str">
        <f>IF($C56="","",COUNTIF($D56:$AH56,[1]DATA!$F$10)+COUNTIF($D56:$AH56,[1]DATA!$F$19)/2)</f>
        <v/>
      </c>
      <c r="AP56" s="43" t="str">
        <f>IF($C56="","",COUNTIF($D56:$AH56,[1]DATA!$F$11)+COUNTIF($D56:$AH56,[1]DATA!$F$20)/2)</f>
        <v/>
      </c>
      <c r="AQ56" s="43" t="str">
        <f>IF($C56="","",COUNTIF($D56:$AH56,[1]DATA!$F$12)+COUNTIF($D56:$AH56,[1]DATA!$F$21)/2)</f>
        <v/>
      </c>
      <c r="AR56" s="43" t="str">
        <f>IF($C56="","",COUNTIF($D56:$AH56,[1]DATA!$F$13)+COUNTIF($D56:$AH56,[1]DATA!$F$22)/2)</f>
        <v/>
      </c>
      <c r="AS56" s="43" t="str">
        <f>IF($C56="","",COUNTIF($D56:$AH56,[1]DATA!$F$14)+COUNTIF($D56:$AH56,[1]DATA!$F$23)/2)</f>
        <v/>
      </c>
      <c r="AT56" s="43" t="str">
        <f>IF($C56="","",COUNTIF($D56:$AH56,[1]DATA!$F$24)+COUNTIF($D56:$AH56,[1]DATA!$F$25)/2)</f>
        <v/>
      </c>
      <c r="AU56" s="49" t="str">
        <f t="shared" si="4"/>
        <v/>
      </c>
      <c r="AV56" s="49" t="str">
        <f t="shared" si="5"/>
        <v/>
      </c>
      <c r="AW56" s="53"/>
      <c r="AX56" s="56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</row>
    <row r="57" s="3" customFormat="1" ht="14.25" customHeight="1" spans="1:66">
      <c r="A57" s="24" t="str">
        <f>IF([1]PHEPNAM!A58="","",[1]PHEPNAM!A58)</f>
        <v/>
      </c>
      <c r="B57" s="25" t="str">
        <f>IF(AND([1]PHEPNAM!E58="",[1]PHEPNAM!Y58="@"),"",IF(AND([1]PHEPNAM!C58="",[1]PHEPNAM!Y58=2),2,[1]PHEPNAM!C58))</f>
        <v/>
      </c>
      <c r="C57" s="25" t="str">
        <f>IF([1]PHEPNAM!E58="","",[1]PHEPNAM!E58)</f>
        <v/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43" t="str">
        <f t="shared" si="2"/>
        <v/>
      </c>
      <c r="AJ57" s="43" t="str">
        <f>IF($C57="","",COUNTIF($D57:$AH57,[1]DATA!$F$6)+COUNTIF($D57:$AH57,[1]DATA!$F$15)/2)</f>
        <v/>
      </c>
      <c r="AK57" s="43" t="str">
        <f>IF($C57="","",COUNTIF($D57:$AH57,[1]DATA!$F$7)+COUNTIF($D57:$AH57,[1]DATA!$F$16)/2)</f>
        <v/>
      </c>
      <c r="AL57" s="44" t="str">
        <f>IF($C57="","",(COUNTIF($D57:$AH57,[1]DATA!$F$8)+COUNTIF($D57:$AH57,[1]DATA!$F$17)/2)+COUNTIF($D57:$AH57,[1]DATA!$F$26)*2+COUNTIF($D57:$AH57,[1]DATA!$F$27)*3-AM57)</f>
        <v/>
      </c>
      <c r="AM57" s="44" t="str">
        <f t="shared" si="3"/>
        <v/>
      </c>
      <c r="AN57" s="43" t="str">
        <f>IF($C57="","",COUNTIF($D57:$AH57,[1]DATA!$F$9)+COUNTIF($D57:$AH57,[1]DATA!$F$18)/2)</f>
        <v/>
      </c>
      <c r="AO57" s="43" t="str">
        <f>IF($C57="","",COUNTIF($D57:$AH57,[1]DATA!$F$10)+COUNTIF($D57:$AH57,[1]DATA!$F$19)/2)</f>
        <v/>
      </c>
      <c r="AP57" s="43" t="str">
        <f>IF($C57="","",COUNTIF($D57:$AH57,[1]DATA!$F$11)+COUNTIF($D57:$AH57,[1]DATA!$F$20)/2)</f>
        <v/>
      </c>
      <c r="AQ57" s="43" t="str">
        <f>IF($C57="","",COUNTIF($D57:$AH57,[1]DATA!$F$12)+COUNTIF($D57:$AH57,[1]DATA!$F$21)/2)</f>
        <v/>
      </c>
      <c r="AR57" s="43" t="str">
        <f>IF($C57="","",COUNTIF($D57:$AH57,[1]DATA!$F$13)+COUNTIF($D57:$AH57,[1]DATA!$F$22)/2)</f>
        <v/>
      </c>
      <c r="AS57" s="43" t="str">
        <f>IF($C57="","",COUNTIF($D57:$AH57,[1]DATA!$F$14)+COUNTIF($D57:$AH57,[1]DATA!$F$23)/2)</f>
        <v/>
      </c>
      <c r="AT57" s="43" t="str">
        <f>IF($C57="","",COUNTIF($D57:$AH57,[1]DATA!$F$24)+COUNTIF($D57:$AH57,[1]DATA!$F$25)/2)</f>
        <v/>
      </c>
      <c r="AU57" s="49" t="str">
        <f t="shared" si="4"/>
        <v/>
      </c>
      <c r="AV57" s="49" t="str">
        <f t="shared" si="5"/>
        <v/>
      </c>
      <c r="AW57" s="53"/>
      <c r="AX57" s="56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</row>
    <row r="58" s="3" customFormat="1" ht="14.25" customHeight="1" spans="1:66">
      <c r="A58" s="24" t="str">
        <f>IF([1]PHEPNAM!A59="","",[1]PHEPNAM!A59)</f>
        <v/>
      </c>
      <c r="B58" s="25" t="str">
        <f>IF(AND([1]PHEPNAM!E59="",[1]PHEPNAM!Y59="@"),"",IF(AND([1]PHEPNAM!C59="",[1]PHEPNAM!Y59=2),2,[1]PHEPNAM!C59))</f>
        <v/>
      </c>
      <c r="C58" s="25" t="str">
        <f>IF([1]PHEPNAM!E59="","",[1]PHEPNAM!E59)</f>
        <v/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43" t="str">
        <f t="shared" si="2"/>
        <v/>
      </c>
      <c r="AJ58" s="43" t="str">
        <f>IF($C58="","",COUNTIF($D58:$AH58,[1]DATA!$F$6)+COUNTIF($D58:$AH58,[1]DATA!$F$15)/2)</f>
        <v/>
      </c>
      <c r="AK58" s="43" t="str">
        <f>IF($C58="","",COUNTIF($D58:$AH58,[1]DATA!$F$7)+COUNTIF($D58:$AH58,[1]DATA!$F$16)/2)</f>
        <v/>
      </c>
      <c r="AL58" s="44" t="str">
        <f>IF($C58="","",(COUNTIF($D58:$AH58,[1]DATA!$F$8)+COUNTIF($D58:$AH58,[1]DATA!$F$17)/2)+COUNTIF($D58:$AH58,[1]DATA!$F$26)*2+COUNTIF($D58:$AH58,[1]DATA!$F$27)*3-AM58)</f>
        <v/>
      </c>
      <c r="AM58" s="44" t="str">
        <f t="shared" si="3"/>
        <v/>
      </c>
      <c r="AN58" s="43" t="str">
        <f>IF($C58="","",COUNTIF($D58:$AH58,[1]DATA!$F$9)+COUNTIF($D58:$AH58,[1]DATA!$F$18)/2)</f>
        <v/>
      </c>
      <c r="AO58" s="43" t="str">
        <f>IF($C58="","",COUNTIF($D58:$AH58,[1]DATA!$F$10)+COUNTIF($D58:$AH58,[1]DATA!$F$19)/2)</f>
        <v/>
      </c>
      <c r="AP58" s="43" t="str">
        <f>IF($C58="","",COUNTIF($D58:$AH58,[1]DATA!$F$11)+COUNTIF($D58:$AH58,[1]DATA!$F$20)/2)</f>
        <v/>
      </c>
      <c r="AQ58" s="43" t="str">
        <f>IF($C58="","",COUNTIF($D58:$AH58,[1]DATA!$F$12)+COUNTIF($D58:$AH58,[1]DATA!$F$21)/2)</f>
        <v/>
      </c>
      <c r="AR58" s="43" t="str">
        <f>IF($C58="","",COUNTIF($D58:$AH58,[1]DATA!$F$13)+COUNTIF($D58:$AH58,[1]DATA!$F$22)/2)</f>
        <v/>
      </c>
      <c r="AS58" s="43" t="str">
        <f>IF($C58="","",COUNTIF($D58:$AH58,[1]DATA!$F$14)+COUNTIF($D58:$AH58,[1]DATA!$F$23)/2)</f>
        <v/>
      </c>
      <c r="AT58" s="43" t="str">
        <f>IF($C58="","",COUNTIF($D58:$AH58,[1]DATA!$F$24)+COUNTIF($D58:$AH58,[1]DATA!$F$25)/2)</f>
        <v/>
      </c>
      <c r="AU58" s="49" t="str">
        <f t="shared" si="4"/>
        <v/>
      </c>
      <c r="AV58" s="49" t="str">
        <f t="shared" si="5"/>
        <v/>
      </c>
      <c r="AW58" s="53"/>
      <c r="AX58" s="56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</row>
    <row r="59" s="3" customFormat="1" ht="14.25" customHeight="1" spans="1:66">
      <c r="A59" s="24" t="str">
        <f>IF([1]PHEPNAM!A60="","",[1]PHEPNAM!A60)</f>
        <v/>
      </c>
      <c r="B59" s="25" t="str">
        <f>IF(AND([1]PHEPNAM!E60="",[1]PHEPNAM!Y60="@"),"",IF(AND([1]PHEPNAM!C60="",[1]PHEPNAM!Y60=2),2,[1]PHEPNAM!C60))</f>
        <v/>
      </c>
      <c r="C59" s="25" t="str">
        <f>IF([1]PHEPNAM!E60="","",[1]PHEPNAM!E60)</f>
        <v/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43" t="str">
        <f t="shared" si="2"/>
        <v/>
      </c>
      <c r="AJ59" s="43" t="str">
        <f>IF($C59="","",COUNTIF($D59:$AH59,[1]DATA!$F$6)+COUNTIF($D59:$AH59,[1]DATA!$F$15)/2)</f>
        <v/>
      </c>
      <c r="AK59" s="43" t="str">
        <f>IF($C59="","",COUNTIF($D59:$AH59,[1]DATA!$F$7)+COUNTIF($D59:$AH59,[1]DATA!$F$16)/2)</f>
        <v/>
      </c>
      <c r="AL59" s="44" t="str">
        <f>IF($C59="","",(COUNTIF($D59:$AH59,[1]DATA!$F$8)+COUNTIF($D59:$AH59,[1]DATA!$F$17)/2)+COUNTIF($D59:$AH59,[1]DATA!$F$26)*2+COUNTIF($D59:$AH59,[1]DATA!$F$27)*3-AM59)</f>
        <v/>
      </c>
      <c r="AM59" s="44" t="str">
        <f t="shared" si="3"/>
        <v/>
      </c>
      <c r="AN59" s="43" t="str">
        <f>IF($C59="","",COUNTIF($D59:$AH59,[1]DATA!$F$9)+COUNTIF($D59:$AH59,[1]DATA!$F$18)/2)</f>
        <v/>
      </c>
      <c r="AO59" s="43" t="str">
        <f>IF($C59="","",COUNTIF($D59:$AH59,[1]DATA!$F$10)+COUNTIF($D59:$AH59,[1]DATA!$F$19)/2)</f>
        <v/>
      </c>
      <c r="AP59" s="43" t="str">
        <f>IF($C59="","",COUNTIF($D59:$AH59,[1]DATA!$F$11)+COUNTIF($D59:$AH59,[1]DATA!$F$20)/2)</f>
        <v/>
      </c>
      <c r="AQ59" s="43" t="str">
        <f>IF($C59="","",COUNTIF($D59:$AH59,[1]DATA!$F$12)+COUNTIF($D59:$AH59,[1]DATA!$F$21)/2)</f>
        <v/>
      </c>
      <c r="AR59" s="43" t="str">
        <f>IF($C59="","",COUNTIF($D59:$AH59,[1]DATA!$F$13)+COUNTIF($D59:$AH59,[1]DATA!$F$22)/2)</f>
        <v/>
      </c>
      <c r="AS59" s="43" t="str">
        <f>IF($C59="","",COUNTIF($D59:$AH59,[1]DATA!$F$14)+COUNTIF($D59:$AH59,[1]DATA!$F$23)/2)</f>
        <v/>
      </c>
      <c r="AT59" s="43" t="str">
        <f>IF($C59="","",COUNTIF($D59:$AH59,[1]DATA!$F$24)+COUNTIF($D59:$AH59,[1]DATA!$F$25)/2)</f>
        <v/>
      </c>
      <c r="AU59" s="49" t="str">
        <f t="shared" si="4"/>
        <v/>
      </c>
      <c r="AV59" s="49" t="str">
        <f t="shared" si="5"/>
        <v/>
      </c>
      <c r="AW59" s="53"/>
      <c r="AX59" s="56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</row>
    <row r="60" s="3" customFormat="1" ht="14.25" customHeight="1" spans="1:66">
      <c r="A60" s="24" t="str">
        <f>IF([1]PHEPNAM!A61="","",[1]PHEPNAM!A61)</f>
        <v/>
      </c>
      <c r="B60" s="25" t="str">
        <f>IF(AND([1]PHEPNAM!E61="",[1]PHEPNAM!Y61="@"),"",IF(AND([1]PHEPNAM!C61="",[1]PHEPNAM!Y61=2),2,[1]PHEPNAM!C61))</f>
        <v/>
      </c>
      <c r="C60" s="25" t="str">
        <f>IF([1]PHEPNAM!E61="","",[1]PHEPNAM!E61)</f>
        <v/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43" t="str">
        <f t="shared" si="2"/>
        <v/>
      </c>
      <c r="AJ60" s="43" t="str">
        <f>IF($C60="","",COUNTIF($D60:$AH60,[1]DATA!$F$6)+COUNTIF($D60:$AH60,[1]DATA!$F$15)/2)</f>
        <v/>
      </c>
      <c r="AK60" s="43" t="str">
        <f>IF($C60="","",COUNTIF($D60:$AH60,[1]DATA!$F$7)+COUNTIF($D60:$AH60,[1]DATA!$F$16)/2)</f>
        <v/>
      </c>
      <c r="AL60" s="44" t="str">
        <f>IF($C60="","",(COUNTIF($D60:$AH60,[1]DATA!$F$8)+COUNTIF($D60:$AH60,[1]DATA!$F$17)/2)+COUNTIF($D60:$AH60,[1]DATA!$F$26)*2+COUNTIF($D60:$AH60,[1]DATA!$F$27)*3-AM60)</f>
        <v/>
      </c>
      <c r="AM60" s="44" t="str">
        <f t="shared" si="3"/>
        <v/>
      </c>
      <c r="AN60" s="43" t="str">
        <f>IF($C60="","",COUNTIF($D60:$AH60,[1]DATA!$F$9)+COUNTIF($D60:$AH60,[1]DATA!$F$18)/2)</f>
        <v/>
      </c>
      <c r="AO60" s="43" t="str">
        <f>IF($C60="","",COUNTIF($D60:$AH60,[1]DATA!$F$10)+COUNTIF($D60:$AH60,[1]DATA!$F$19)/2)</f>
        <v/>
      </c>
      <c r="AP60" s="43" t="str">
        <f>IF($C60="","",COUNTIF($D60:$AH60,[1]DATA!$F$11)+COUNTIF($D60:$AH60,[1]DATA!$F$20)/2)</f>
        <v/>
      </c>
      <c r="AQ60" s="43" t="str">
        <f>IF($C60="","",COUNTIF($D60:$AH60,[1]DATA!$F$12)+COUNTIF($D60:$AH60,[1]DATA!$F$21)/2)</f>
        <v/>
      </c>
      <c r="AR60" s="43" t="str">
        <f>IF($C60="","",COUNTIF($D60:$AH60,[1]DATA!$F$13)+COUNTIF($D60:$AH60,[1]DATA!$F$22)/2)</f>
        <v/>
      </c>
      <c r="AS60" s="43" t="str">
        <f>IF($C60="","",COUNTIF($D60:$AH60,[1]DATA!$F$14)+COUNTIF($D60:$AH60,[1]DATA!$F$23)/2)</f>
        <v/>
      </c>
      <c r="AT60" s="43" t="str">
        <f>IF($C60="","",COUNTIF($D60:$AH60,[1]DATA!$F$24)+COUNTIF($D60:$AH60,[1]DATA!$F$25)/2)</f>
        <v/>
      </c>
      <c r="AU60" s="49" t="str">
        <f t="shared" si="4"/>
        <v/>
      </c>
      <c r="AV60" s="49" t="str">
        <f t="shared" si="5"/>
        <v/>
      </c>
      <c r="AW60" s="53"/>
      <c r="AX60" s="56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</row>
    <row r="61" s="3" customFormat="1" ht="14.25" customHeight="1" spans="1:66">
      <c r="A61" s="24" t="str">
        <f>IF([1]PHEPNAM!A62="","",[1]PHEPNAM!A62)</f>
        <v/>
      </c>
      <c r="B61" s="25" t="str">
        <f>IF(AND([1]PHEPNAM!E62="",[1]PHEPNAM!Y62="@"),"",IF(AND([1]PHEPNAM!C62="",[1]PHEPNAM!Y62=2),2,[1]PHEPNAM!C62))</f>
        <v/>
      </c>
      <c r="C61" s="25" t="str">
        <f>IF([1]PHEPNAM!E62="","",[1]PHEPNAM!E62)</f>
        <v/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43" t="str">
        <f t="shared" si="2"/>
        <v/>
      </c>
      <c r="AJ61" s="43" t="str">
        <f>IF($C61="","",COUNTIF($D61:$AH61,[1]DATA!$F$6)+COUNTIF($D61:$AH61,[1]DATA!$F$15)/2)</f>
        <v/>
      </c>
      <c r="AK61" s="43" t="str">
        <f>IF($C61="","",COUNTIF($D61:$AH61,[1]DATA!$F$7)+COUNTIF($D61:$AH61,[1]DATA!$F$16)/2)</f>
        <v/>
      </c>
      <c r="AL61" s="44" t="str">
        <f>IF($C61="","",(COUNTIF($D61:$AH61,[1]DATA!$F$8)+COUNTIF($D61:$AH61,[1]DATA!$F$17)/2)+COUNTIF($D61:$AH61,[1]DATA!$F$26)*2+COUNTIF($D61:$AH61,[1]DATA!$F$27)*3-AM61)</f>
        <v/>
      </c>
      <c r="AM61" s="44" t="str">
        <f t="shared" si="3"/>
        <v/>
      </c>
      <c r="AN61" s="43" t="str">
        <f>IF($C61="","",COUNTIF($D61:$AH61,[1]DATA!$F$9)+COUNTIF($D61:$AH61,[1]DATA!$F$18)/2)</f>
        <v/>
      </c>
      <c r="AO61" s="43" t="str">
        <f>IF($C61="","",COUNTIF($D61:$AH61,[1]DATA!$F$10)+COUNTIF($D61:$AH61,[1]DATA!$F$19)/2)</f>
        <v/>
      </c>
      <c r="AP61" s="43" t="str">
        <f>IF($C61="","",COUNTIF($D61:$AH61,[1]DATA!$F$11)+COUNTIF($D61:$AH61,[1]DATA!$F$20)/2)</f>
        <v/>
      </c>
      <c r="AQ61" s="43" t="str">
        <f>IF($C61="","",COUNTIF($D61:$AH61,[1]DATA!$F$12)+COUNTIF($D61:$AH61,[1]DATA!$F$21)/2)</f>
        <v/>
      </c>
      <c r="AR61" s="43" t="str">
        <f>IF($C61="","",COUNTIF($D61:$AH61,[1]DATA!$F$13)+COUNTIF($D61:$AH61,[1]DATA!$F$22)/2)</f>
        <v/>
      </c>
      <c r="AS61" s="43" t="str">
        <f>IF($C61="","",COUNTIF($D61:$AH61,[1]DATA!$F$14)+COUNTIF($D61:$AH61,[1]DATA!$F$23)/2)</f>
        <v/>
      </c>
      <c r="AT61" s="43" t="str">
        <f>IF($C61="","",COUNTIF($D61:$AH61,[1]DATA!$F$24)+COUNTIF($D61:$AH61,[1]DATA!$F$25)/2)</f>
        <v/>
      </c>
      <c r="AU61" s="49" t="str">
        <f t="shared" si="4"/>
        <v/>
      </c>
      <c r="AV61" s="49" t="str">
        <f t="shared" si="5"/>
        <v/>
      </c>
      <c r="AW61" s="53"/>
      <c r="AX61" s="56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</row>
    <row r="62" s="3" customFormat="1" ht="14.25" customHeight="1" spans="1:66">
      <c r="A62" s="24" t="str">
        <f>IF([1]PHEPNAM!A63="","",[1]PHEPNAM!A63)</f>
        <v/>
      </c>
      <c r="B62" s="25" t="str">
        <f>IF(AND([1]PHEPNAM!E63="",[1]PHEPNAM!Y63="@"),"",IF(AND([1]PHEPNAM!C63="",[1]PHEPNAM!Y63=2),2,[1]PHEPNAM!C63))</f>
        <v/>
      </c>
      <c r="C62" s="25" t="str">
        <f>IF([1]PHEPNAM!E63="","",[1]PHEPNAM!E63)</f>
        <v/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43" t="str">
        <f t="shared" si="2"/>
        <v/>
      </c>
      <c r="AJ62" s="43" t="str">
        <f>IF($C62="","",COUNTIF($D62:$AH62,[1]DATA!$F$6)+COUNTIF($D62:$AH62,[1]DATA!$F$15)/2)</f>
        <v/>
      </c>
      <c r="AK62" s="43" t="str">
        <f>IF($C62="","",COUNTIF($D62:$AH62,[1]DATA!$F$7)+COUNTIF($D62:$AH62,[1]DATA!$F$16)/2)</f>
        <v/>
      </c>
      <c r="AL62" s="44" t="str">
        <f>IF($C62="","",(COUNTIF($D62:$AH62,[1]DATA!$F$8)+COUNTIF($D62:$AH62,[1]DATA!$F$17)/2)+COUNTIF($D62:$AH62,[1]DATA!$F$26)*2+COUNTIF($D62:$AH62,[1]DATA!$F$27)*3-AM62)</f>
        <v/>
      </c>
      <c r="AM62" s="44" t="str">
        <f t="shared" si="3"/>
        <v/>
      </c>
      <c r="AN62" s="43" t="str">
        <f>IF($C62="","",COUNTIF($D62:$AH62,[1]DATA!$F$9)+COUNTIF($D62:$AH62,[1]DATA!$F$18)/2)</f>
        <v/>
      </c>
      <c r="AO62" s="43" t="str">
        <f>IF($C62="","",COUNTIF($D62:$AH62,[1]DATA!$F$10)+COUNTIF($D62:$AH62,[1]DATA!$F$19)/2)</f>
        <v/>
      </c>
      <c r="AP62" s="43" t="str">
        <f>IF($C62="","",COUNTIF($D62:$AH62,[1]DATA!$F$11)+COUNTIF($D62:$AH62,[1]DATA!$F$20)/2)</f>
        <v/>
      </c>
      <c r="AQ62" s="43" t="str">
        <f>IF($C62="","",COUNTIF($D62:$AH62,[1]DATA!$F$12)+COUNTIF($D62:$AH62,[1]DATA!$F$21)/2)</f>
        <v/>
      </c>
      <c r="AR62" s="43" t="str">
        <f>IF($C62="","",COUNTIF($D62:$AH62,[1]DATA!$F$13)+COUNTIF($D62:$AH62,[1]DATA!$F$22)/2)</f>
        <v/>
      </c>
      <c r="AS62" s="43" t="str">
        <f>IF($C62="","",COUNTIF($D62:$AH62,[1]DATA!$F$14)+COUNTIF($D62:$AH62,[1]DATA!$F$23)/2)</f>
        <v/>
      </c>
      <c r="AT62" s="43" t="str">
        <f>IF($C62="","",COUNTIF($D62:$AH62,[1]DATA!$F$24)+COUNTIF($D62:$AH62,[1]DATA!$F$25)/2)</f>
        <v/>
      </c>
      <c r="AU62" s="49" t="str">
        <f t="shared" si="4"/>
        <v/>
      </c>
      <c r="AV62" s="49" t="str">
        <f t="shared" si="5"/>
        <v/>
      </c>
      <c r="AW62" s="53"/>
      <c r="AX62" s="56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</row>
    <row r="63" s="3" customFormat="1" ht="14.25" customHeight="1" spans="1:66">
      <c r="A63" s="24" t="str">
        <f>IF([1]PHEPNAM!A64="","",[1]PHEPNAM!A64)</f>
        <v/>
      </c>
      <c r="B63" s="25" t="str">
        <f>IF(AND([1]PHEPNAM!E64="",[1]PHEPNAM!Y64="@"),"",IF(AND([1]PHEPNAM!C64="",[1]PHEPNAM!Y64=2),2,[1]PHEPNAM!C64))</f>
        <v/>
      </c>
      <c r="C63" s="25" t="str">
        <f>IF([1]PHEPNAM!E64="","",[1]PHEPNAM!E64)</f>
        <v/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43" t="str">
        <f t="shared" si="2"/>
        <v/>
      </c>
      <c r="AJ63" s="43" t="str">
        <f>IF($C63="","",COUNTIF($D63:$AH63,[1]DATA!$F$6)+COUNTIF($D63:$AH63,[1]DATA!$F$15)/2)</f>
        <v/>
      </c>
      <c r="AK63" s="43" t="str">
        <f>IF($C63="","",COUNTIF($D63:$AH63,[1]DATA!$F$7)+COUNTIF($D63:$AH63,[1]DATA!$F$16)/2)</f>
        <v/>
      </c>
      <c r="AL63" s="44" t="str">
        <f>IF($C63="","",(COUNTIF($D63:$AH63,[1]DATA!$F$8)+COUNTIF($D63:$AH63,[1]DATA!$F$17)/2)+COUNTIF($D63:$AH63,[1]DATA!$F$26)*2+COUNTIF($D63:$AH63,[1]DATA!$F$27)*3-AM63)</f>
        <v/>
      </c>
      <c r="AM63" s="44" t="str">
        <f t="shared" si="3"/>
        <v/>
      </c>
      <c r="AN63" s="43" t="str">
        <f>IF($C63="","",COUNTIF($D63:$AH63,[1]DATA!$F$9)+COUNTIF($D63:$AH63,[1]DATA!$F$18)/2)</f>
        <v/>
      </c>
      <c r="AO63" s="43" t="str">
        <f>IF($C63="","",COUNTIF($D63:$AH63,[1]DATA!$F$10)+COUNTIF($D63:$AH63,[1]DATA!$F$19)/2)</f>
        <v/>
      </c>
      <c r="AP63" s="43" t="str">
        <f>IF($C63="","",COUNTIF($D63:$AH63,[1]DATA!$F$11)+COUNTIF($D63:$AH63,[1]DATA!$F$20)/2)</f>
        <v/>
      </c>
      <c r="AQ63" s="43" t="str">
        <f>IF($C63="","",COUNTIF($D63:$AH63,[1]DATA!$F$12)+COUNTIF($D63:$AH63,[1]DATA!$F$21)/2)</f>
        <v/>
      </c>
      <c r="AR63" s="43" t="str">
        <f>IF($C63="","",COUNTIF($D63:$AH63,[1]DATA!$F$13)+COUNTIF($D63:$AH63,[1]DATA!$F$22)/2)</f>
        <v/>
      </c>
      <c r="AS63" s="43" t="str">
        <f>IF($C63="","",COUNTIF($D63:$AH63,[1]DATA!$F$14)+COUNTIF($D63:$AH63,[1]DATA!$F$23)/2)</f>
        <v/>
      </c>
      <c r="AT63" s="43" t="str">
        <f>IF($C63="","",COUNTIF($D63:$AH63,[1]DATA!$F$24)+COUNTIF($D63:$AH63,[1]DATA!$F$25)/2)</f>
        <v/>
      </c>
      <c r="AU63" s="49" t="str">
        <f t="shared" si="4"/>
        <v/>
      </c>
      <c r="AV63" s="49" t="str">
        <f t="shared" si="5"/>
        <v/>
      </c>
      <c r="AW63" s="53"/>
      <c r="AX63" s="56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</row>
    <row r="64" s="3" customFormat="1" ht="14.25" customHeight="1" spans="1:66">
      <c r="A64" s="24" t="str">
        <f>IF([1]PHEPNAM!A65="","",[1]PHEPNAM!A65)</f>
        <v/>
      </c>
      <c r="B64" s="25" t="str">
        <f>IF(AND([1]PHEPNAM!E65="",[1]PHEPNAM!Y65="@"),"",IF(AND([1]PHEPNAM!C65="",[1]PHEPNAM!Y65=2),2,[1]PHEPNAM!C65))</f>
        <v/>
      </c>
      <c r="C64" s="25" t="str">
        <f>IF([1]PHEPNAM!E65="","",[1]PHEPNAM!E65)</f>
        <v/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43" t="str">
        <f t="shared" si="2"/>
        <v/>
      </c>
      <c r="AJ64" s="43" t="str">
        <f>IF($C64="","",COUNTIF($D64:$AH64,[1]DATA!$F$6)+COUNTIF($D64:$AH64,[1]DATA!$F$15)/2)</f>
        <v/>
      </c>
      <c r="AK64" s="43" t="str">
        <f>IF($C64="","",COUNTIF($D64:$AH64,[1]DATA!$F$7)+COUNTIF($D64:$AH64,[1]DATA!$F$16)/2)</f>
        <v/>
      </c>
      <c r="AL64" s="44" t="str">
        <f>IF($C64="","",(COUNTIF($D64:$AH64,[1]DATA!$F$8)+COUNTIF($D64:$AH64,[1]DATA!$F$17)/2)+COUNTIF($D64:$AH64,[1]DATA!$F$26)*2+COUNTIF($D64:$AH64,[1]DATA!$F$27)*3-AM64)</f>
        <v/>
      </c>
      <c r="AM64" s="44" t="str">
        <f t="shared" si="3"/>
        <v/>
      </c>
      <c r="AN64" s="43" t="str">
        <f>IF($C64="","",COUNTIF($D64:$AH64,[1]DATA!$F$9)+COUNTIF($D64:$AH64,[1]DATA!$F$18)/2)</f>
        <v/>
      </c>
      <c r="AO64" s="43" t="str">
        <f>IF($C64="","",COUNTIF($D64:$AH64,[1]DATA!$F$10)+COUNTIF($D64:$AH64,[1]DATA!$F$19)/2)</f>
        <v/>
      </c>
      <c r="AP64" s="43" t="str">
        <f>IF($C64="","",COUNTIF($D64:$AH64,[1]DATA!$F$11)+COUNTIF($D64:$AH64,[1]DATA!$F$20)/2)</f>
        <v/>
      </c>
      <c r="AQ64" s="43" t="str">
        <f>IF($C64="","",COUNTIF($D64:$AH64,[1]DATA!$F$12)+COUNTIF($D64:$AH64,[1]DATA!$F$21)/2)</f>
        <v/>
      </c>
      <c r="AR64" s="43" t="str">
        <f>IF($C64="","",COUNTIF($D64:$AH64,[1]DATA!$F$13)+COUNTIF($D64:$AH64,[1]DATA!$F$22)/2)</f>
        <v/>
      </c>
      <c r="AS64" s="43" t="str">
        <f>IF($C64="","",COUNTIF($D64:$AH64,[1]DATA!$F$14)+COUNTIF($D64:$AH64,[1]DATA!$F$23)/2)</f>
        <v/>
      </c>
      <c r="AT64" s="43" t="str">
        <f>IF($C64="","",COUNTIF($D64:$AH64,[1]DATA!$F$24)+COUNTIF($D64:$AH64,[1]DATA!$F$25)/2)</f>
        <v/>
      </c>
      <c r="AU64" s="49" t="str">
        <f t="shared" si="4"/>
        <v/>
      </c>
      <c r="AV64" s="49" t="str">
        <f t="shared" si="5"/>
        <v/>
      </c>
      <c r="AW64" s="53"/>
      <c r="AX64" s="56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</row>
    <row r="65" s="3" customFormat="1" ht="14.25" customHeight="1" spans="1:66">
      <c r="A65" s="24" t="str">
        <f>IF([1]PHEPNAM!A66="","",[1]PHEPNAM!A66)</f>
        <v/>
      </c>
      <c r="B65" s="25" t="str">
        <f>IF(AND([1]PHEPNAM!E66="",[1]PHEPNAM!Y66="@"),"",IF(AND([1]PHEPNAM!C66="",[1]PHEPNAM!Y66=2),2,[1]PHEPNAM!C66))</f>
        <v/>
      </c>
      <c r="C65" s="25" t="str">
        <f>IF([1]PHEPNAM!E66="","",[1]PHEPNAM!E66)</f>
        <v/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43" t="str">
        <f t="shared" si="2"/>
        <v/>
      </c>
      <c r="AJ65" s="43" t="str">
        <f>IF($C65="","",COUNTIF($D65:$AH65,[1]DATA!$F$6)+COUNTIF($D65:$AH65,[1]DATA!$F$15)/2)</f>
        <v/>
      </c>
      <c r="AK65" s="43" t="str">
        <f>IF($C65="","",COUNTIF($D65:$AH65,[1]DATA!$F$7)+COUNTIF($D65:$AH65,[1]DATA!$F$16)/2)</f>
        <v/>
      </c>
      <c r="AL65" s="44" t="str">
        <f>IF($C65="","",(COUNTIF($D65:$AH65,[1]DATA!$F$8)+COUNTIF($D65:$AH65,[1]DATA!$F$17)/2)+COUNTIF($D65:$AH65,[1]DATA!$F$26)*2+COUNTIF($D65:$AH65,[1]DATA!$F$27)*3-AM65)</f>
        <v/>
      </c>
      <c r="AM65" s="44" t="str">
        <f t="shared" si="3"/>
        <v/>
      </c>
      <c r="AN65" s="43" t="str">
        <f>IF($C65="","",COUNTIF($D65:$AH65,[1]DATA!$F$9)+COUNTIF($D65:$AH65,[1]DATA!$F$18)/2)</f>
        <v/>
      </c>
      <c r="AO65" s="43" t="str">
        <f>IF($C65="","",COUNTIF($D65:$AH65,[1]DATA!$F$10)+COUNTIF($D65:$AH65,[1]DATA!$F$19)/2)</f>
        <v/>
      </c>
      <c r="AP65" s="43" t="str">
        <f>IF($C65="","",COUNTIF($D65:$AH65,[1]DATA!$F$11)+COUNTIF($D65:$AH65,[1]DATA!$F$20)/2)</f>
        <v/>
      </c>
      <c r="AQ65" s="43" t="str">
        <f>IF($C65="","",COUNTIF($D65:$AH65,[1]DATA!$F$12)+COUNTIF($D65:$AH65,[1]DATA!$F$21)/2)</f>
        <v/>
      </c>
      <c r="AR65" s="43" t="str">
        <f>IF($C65="","",COUNTIF($D65:$AH65,[1]DATA!$F$13)+COUNTIF($D65:$AH65,[1]DATA!$F$22)/2)</f>
        <v/>
      </c>
      <c r="AS65" s="43" t="str">
        <f>IF($C65="","",COUNTIF($D65:$AH65,[1]DATA!$F$14)+COUNTIF($D65:$AH65,[1]DATA!$F$23)/2)</f>
        <v/>
      </c>
      <c r="AT65" s="43" t="str">
        <f>IF($C65="","",COUNTIF($D65:$AH65,[1]DATA!$F$24)+COUNTIF($D65:$AH65,[1]DATA!$F$25)/2)</f>
        <v/>
      </c>
      <c r="AU65" s="49" t="str">
        <f t="shared" si="4"/>
        <v/>
      </c>
      <c r="AV65" s="49" t="str">
        <f t="shared" si="5"/>
        <v/>
      </c>
      <c r="AW65" s="53"/>
      <c r="AX65" s="56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</row>
    <row r="66" s="3" customFormat="1" ht="14.25" customHeight="1" spans="1:66">
      <c r="A66" s="24" t="str">
        <f>IF([1]PHEPNAM!A67="","",[1]PHEPNAM!A67)</f>
        <v/>
      </c>
      <c r="B66" s="25" t="str">
        <f>IF(AND([1]PHEPNAM!E67="",[1]PHEPNAM!Y67="@"),"",IF(AND([1]PHEPNAM!C67="",[1]PHEPNAM!Y67=2),2,[1]PHEPNAM!C67))</f>
        <v/>
      </c>
      <c r="C66" s="25" t="str">
        <f>IF([1]PHEPNAM!E67="","",[1]PHEPNAM!E67)</f>
        <v/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43" t="str">
        <f t="shared" si="2"/>
        <v/>
      </c>
      <c r="AJ66" s="43" t="str">
        <f>IF($C66="","",COUNTIF($D66:$AH66,[1]DATA!$F$6)+COUNTIF($D66:$AH66,[1]DATA!$F$15)/2)</f>
        <v/>
      </c>
      <c r="AK66" s="43" t="str">
        <f>IF($C66="","",COUNTIF($D66:$AH66,[1]DATA!$F$7)+COUNTIF($D66:$AH66,[1]DATA!$F$16)/2)</f>
        <v/>
      </c>
      <c r="AL66" s="44" t="str">
        <f>IF($C66="","",(COUNTIF($D66:$AH66,[1]DATA!$F$8)+COUNTIF($D66:$AH66,[1]DATA!$F$17)/2)+COUNTIF($D66:$AH66,[1]DATA!$F$26)*2+COUNTIF($D66:$AH66,[1]DATA!$F$27)*3-AM66)</f>
        <v/>
      </c>
      <c r="AM66" s="44" t="str">
        <f t="shared" si="3"/>
        <v/>
      </c>
      <c r="AN66" s="43" t="str">
        <f>IF($C66="","",COUNTIF($D66:$AH66,[1]DATA!$F$9)+COUNTIF($D66:$AH66,[1]DATA!$F$18)/2)</f>
        <v/>
      </c>
      <c r="AO66" s="43" t="str">
        <f>IF($C66="","",COUNTIF($D66:$AH66,[1]DATA!$F$10)+COUNTIF($D66:$AH66,[1]DATA!$F$19)/2)</f>
        <v/>
      </c>
      <c r="AP66" s="43" t="str">
        <f>IF($C66="","",COUNTIF($D66:$AH66,[1]DATA!$F$11)+COUNTIF($D66:$AH66,[1]DATA!$F$20)/2)</f>
        <v/>
      </c>
      <c r="AQ66" s="43" t="str">
        <f>IF($C66="","",COUNTIF($D66:$AH66,[1]DATA!$F$12)+COUNTIF($D66:$AH66,[1]DATA!$F$21)/2)</f>
        <v/>
      </c>
      <c r="AR66" s="43" t="str">
        <f>IF($C66="","",COUNTIF($D66:$AH66,[1]DATA!$F$13)+COUNTIF($D66:$AH66,[1]DATA!$F$22)/2)</f>
        <v/>
      </c>
      <c r="AS66" s="43" t="str">
        <f>IF($C66="","",COUNTIF($D66:$AH66,[1]DATA!$F$14)+COUNTIF($D66:$AH66,[1]DATA!$F$23)/2)</f>
        <v/>
      </c>
      <c r="AT66" s="43" t="str">
        <f>IF($C66="","",COUNTIF($D66:$AH66,[1]DATA!$F$24)+COUNTIF($D66:$AH66,[1]DATA!$F$25)/2)</f>
        <v/>
      </c>
      <c r="AU66" s="49" t="str">
        <f t="shared" si="4"/>
        <v/>
      </c>
      <c r="AV66" s="49" t="str">
        <f t="shared" si="5"/>
        <v/>
      </c>
      <c r="AW66" s="53"/>
      <c r="AX66" s="56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</row>
    <row r="67" s="3" customFormat="1" ht="14.25" customHeight="1" spans="1:66">
      <c r="A67" s="24" t="str">
        <f>IF([1]PHEPNAM!A68="","",[1]PHEPNAM!A68)</f>
        <v/>
      </c>
      <c r="B67" s="25" t="str">
        <f>IF(AND([1]PHEPNAM!E68="",[1]PHEPNAM!Y68="@"),"",IF(AND([1]PHEPNAM!C68="",[1]PHEPNAM!Y68=2),2,[1]PHEPNAM!C68))</f>
        <v/>
      </c>
      <c r="C67" s="25" t="str">
        <f>IF([1]PHEPNAM!E68="","",[1]PHEPNAM!E68)</f>
        <v/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43" t="str">
        <f t="shared" si="2"/>
        <v/>
      </c>
      <c r="AJ67" s="43" t="str">
        <f>IF($C67="","",COUNTIF($D67:$AH67,[1]DATA!$F$6)+COUNTIF($D67:$AH67,[1]DATA!$F$15)/2)</f>
        <v/>
      </c>
      <c r="AK67" s="43" t="str">
        <f>IF($C67="","",COUNTIF($D67:$AH67,[1]DATA!$F$7)+COUNTIF($D67:$AH67,[1]DATA!$F$16)/2)</f>
        <v/>
      </c>
      <c r="AL67" s="44" t="str">
        <f>IF($C67="","",(COUNTIF($D67:$AH67,[1]DATA!$F$8)+COUNTIF($D67:$AH67,[1]DATA!$F$17)/2)+COUNTIF($D67:$AH67,[1]DATA!$F$26)*2+COUNTIF($D67:$AH67,[1]DATA!$F$27)*3-AM67)</f>
        <v/>
      </c>
      <c r="AM67" s="44" t="str">
        <f t="shared" si="3"/>
        <v/>
      </c>
      <c r="AN67" s="43" t="str">
        <f>IF($C67="","",COUNTIF($D67:$AH67,[1]DATA!$F$9)+COUNTIF($D67:$AH67,[1]DATA!$F$18)/2)</f>
        <v/>
      </c>
      <c r="AO67" s="43" t="str">
        <f>IF($C67="","",COUNTIF($D67:$AH67,[1]DATA!$F$10)+COUNTIF($D67:$AH67,[1]DATA!$F$19)/2)</f>
        <v/>
      </c>
      <c r="AP67" s="43" t="str">
        <f>IF($C67="","",COUNTIF($D67:$AH67,[1]DATA!$F$11)+COUNTIF($D67:$AH67,[1]DATA!$F$20)/2)</f>
        <v/>
      </c>
      <c r="AQ67" s="43" t="str">
        <f>IF($C67="","",COUNTIF($D67:$AH67,[1]DATA!$F$12)+COUNTIF($D67:$AH67,[1]DATA!$F$21)/2)</f>
        <v/>
      </c>
      <c r="AR67" s="43" t="str">
        <f>IF($C67="","",COUNTIF($D67:$AH67,[1]DATA!$F$13)+COUNTIF($D67:$AH67,[1]DATA!$F$22)/2)</f>
        <v/>
      </c>
      <c r="AS67" s="43" t="str">
        <f>IF($C67="","",COUNTIF($D67:$AH67,[1]DATA!$F$14)+COUNTIF($D67:$AH67,[1]DATA!$F$23)/2)</f>
        <v/>
      </c>
      <c r="AT67" s="43" t="str">
        <f>IF($C67="","",COUNTIF($D67:$AH67,[1]DATA!$F$24)+COUNTIF($D67:$AH67,[1]DATA!$F$25)/2)</f>
        <v/>
      </c>
      <c r="AU67" s="49" t="str">
        <f t="shared" si="4"/>
        <v/>
      </c>
      <c r="AV67" s="49" t="str">
        <f t="shared" si="5"/>
        <v/>
      </c>
      <c r="AW67" s="53"/>
      <c r="AX67" s="56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</row>
    <row r="68" s="3" customFormat="1" ht="14.25" customHeight="1" spans="1:66">
      <c r="A68" s="24" t="str">
        <f>IF([1]PHEPNAM!A69="","",[1]PHEPNAM!A69)</f>
        <v/>
      </c>
      <c r="B68" s="25" t="str">
        <f>IF(AND([1]PHEPNAM!E69="",[1]PHEPNAM!Y69="@"),"",IF(AND([1]PHEPNAM!C69="",[1]PHEPNAM!Y69=2),2,[1]PHEPNAM!C69))</f>
        <v/>
      </c>
      <c r="C68" s="25" t="str">
        <f>IF([1]PHEPNAM!E69="","",[1]PHEPNAM!E69)</f>
        <v/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43" t="str">
        <f t="shared" si="2"/>
        <v/>
      </c>
      <c r="AJ68" s="43" t="str">
        <f>IF($C68="","",COUNTIF($D68:$AH68,[1]DATA!$F$6)+COUNTIF($D68:$AH68,[1]DATA!$F$15)/2)</f>
        <v/>
      </c>
      <c r="AK68" s="43" t="str">
        <f>IF($C68="","",COUNTIF($D68:$AH68,[1]DATA!$F$7)+COUNTIF($D68:$AH68,[1]DATA!$F$16)/2)</f>
        <v/>
      </c>
      <c r="AL68" s="44" t="str">
        <f>IF($C68="","",(COUNTIF($D68:$AH68,[1]DATA!$F$8)+COUNTIF($D68:$AH68,[1]DATA!$F$17)/2)+COUNTIF($D68:$AH68,[1]DATA!$F$26)*2+COUNTIF($D68:$AH68,[1]DATA!$F$27)*3-AM68)</f>
        <v/>
      </c>
      <c r="AM68" s="44" t="str">
        <f t="shared" si="3"/>
        <v/>
      </c>
      <c r="AN68" s="43" t="str">
        <f>IF($C68="","",COUNTIF($D68:$AH68,[1]DATA!$F$9)+COUNTIF($D68:$AH68,[1]DATA!$F$18)/2)</f>
        <v/>
      </c>
      <c r="AO68" s="43" t="str">
        <f>IF($C68="","",COUNTIF($D68:$AH68,[1]DATA!$F$10)+COUNTIF($D68:$AH68,[1]DATA!$F$19)/2)</f>
        <v/>
      </c>
      <c r="AP68" s="43" t="str">
        <f>IF($C68="","",COUNTIF($D68:$AH68,[1]DATA!$F$11)+COUNTIF($D68:$AH68,[1]DATA!$F$20)/2)</f>
        <v/>
      </c>
      <c r="AQ68" s="43" t="str">
        <f>IF($C68="","",COUNTIF($D68:$AH68,[1]DATA!$F$12)+COUNTIF($D68:$AH68,[1]DATA!$F$21)/2)</f>
        <v/>
      </c>
      <c r="AR68" s="43" t="str">
        <f>IF($C68="","",COUNTIF($D68:$AH68,[1]DATA!$F$13)+COUNTIF($D68:$AH68,[1]DATA!$F$22)/2)</f>
        <v/>
      </c>
      <c r="AS68" s="43" t="str">
        <f>IF($C68="","",COUNTIF($D68:$AH68,[1]DATA!$F$14)+COUNTIF($D68:$AH68,[1]DATA!$F$23)/2)</f>
        <v/>
      </c>
      <c r="AT68" s="43" t="str">
        <f>IF($C68="","",COUNTIF($D68:$AH68,[1]DATA!$F$24)+COUNTIF($D68:$AH68,[1]DATA!$F$25)/2)</f>
        <v/>
      </c>
      <c r="AU68" s="49" t="str">
        <f t="shared" si="4"/>
        <v/>
      </c>
      <c r="AV68" s="49" t="str">
        <f t="shared" si="5"/>
        <v/>
      </c>
      <c r="AW68" s="53"/>
      <c r="AX68" s="56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</row>
    <row r="69" s="3" customFormat="1" ht="14.25" customHeight="1" spans="1:66">
      <c r="A69" s="24" t="str">
        <f>IF([1]PHEPNAM!A70="","",[1]PHEPNAM!A70)</f>
        <v/>
      </c>
      <c r="B69" s="25" t="str">
        <f>IF(AND([1]PHEPNAM!E70="",[1]PHEPNAM!Y70="@"),"",IF(AND([1]PHEPNAM!C70="",[1]PHEPNAM!Y70=2),2,[1]PHEPNAM!C70))</f>
        <v/>
      </c>
      <c r="C69" s="25" t="str">
        <f>IF([1]PHEPNAM!E70="","",[1]PHEPNAM!E70)</f>
        <v/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43" t="str">
        <f t="shared" si="2"/>
        <v/>
      </c>
      <c r="AJ69" s="43" t="str">
        <f>IF($C69="","",COUNTIF($D69:$AH69,[1]DATA!$F$6)+COUNTIF($D69:$AH69,[1]DATA!$F$15)/2)</f>
        <v/>
      </c>
      <c r="AK69" s="43" t="str">
        <f>IF($C69="","",COUNTIF($D69:$AH69,[1]DATA!$F$7)+COUNTIF($D69:$AH69,[1]DATA!$F$16)/2)</f>
        <v/>
      </c>
      <c r="AL69" s="44" t="str">
        <f>IF($C69="","",(COUNTIF($D69:$AH69,[1]DATA!$F$8)+COUNTIF($D69:$AH69,[1]DATA!$F$17)/2)+COUNTIF($D69:$AH69,[1]DATA!$F$26)*2+COUNTIF($D69:$AH69,[1]DATA!$F$27)*3-AM69)</f>
        <v/>
      </c>
      <c r="AM69" s="44" t="str">
        <f t="shared" si="3"/>
        <v/>
      </c>
      <c r="AN69" s="43" t="str">
        <f>IF($C69="","",COUNTIF($D69:$AH69,[1]DATA!$F$9)+COUNTIF($D69:$AH69,[1]DATA!$F$18)/2)</f>
        <v/>
      </c>
      <c r="AO69" s="43" t="str">
        <f>IF($C69="","",COUNTIF($D69:$AH69,[1]DATA!$F$10)+COUNTIF($D69:$AH69,[1]DATA!$F$19)/2)</f>
        <v/>
      </c>
      <c r="AP69" s="43" t="str">
        <f>IF($C69="","",COUNTIF($D69:$AH69,[1]DATA!$F$11)+COUNTIF($D69:$AH69,[1]DATA!$F$20)/2)</f>
        <v/>
      </c>
      <c r="AQ69" s="43" t="str">
        <f>IF($C69="","",COUNTIF($D69:$AH69,[1]DATA!$F$12)+COUNTIF($D69:$AH69,[1]DATA!$F$21)/2)</f>
        <v/>
      </c>
      <c r="AR69" s="43" t="str">
        <f>IF($C69="","",COUNTIF($D69:$AH69,[1]DATA!$F$13)+COUNTIF($D69:$AH69,[1]DATA!$F$22)/2)</f>
        <v/>
      </c>
      <c r="AS69" s="43" t="str">
        <f>IF($C69="","",COUNTIF($D69:$AH69,[1]DATA!$F$14)+COUNTIF($D69:$AH69,[1]DATA!$F$23)/2)</f>
        <v/>
      </c>
      <c r="AT69" s="43" t="str">
        <f>IF($C69="","",COUNTIF($D69:$AH69,[1]DATA!$F$24)+COUNTIF($D69:$AH69,[1]DATA!$F$25)/2)</f>
        <v/>
      </c>
      <c r="AU69" s="49" t="str">
        <f t="shared" si="4"/>
        <v/>
      </c>
      <c r="AV69" s="49" t="str">
        <f t="shared" si="5"/>
        <v/>
      </c>
      <c r="AW69" s="53"/>
      <c r="AX69" s="56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</row>
    <row r="70" s="3" customFormat="1" ht="14.25" customHeight="1" spans="1:66">
      <c r="A70" s="24" t="str">
        <f>IF([1]PHEPNAM!A71="","",[1]PHEPNAM!A71)</f>
        <v/>
      </c>
      <c r="B70" s="25" t="str">
        <f>IF(AND([1]PHEPNAM!E71="",[1]PHEPNAM!Y71="@"),"",IF(AND([1]PHEPNAM!C71="",[1]PHEPNAM!Y71=2),2,[1]PHEPNAM!C71))</f>
        <v/>
      </c>
      <c r="C70" s="25" t="str">
        <f>IF([1]PHEPNAM!E71="","",[1]PHEPNAM!E71)</f>
        <v/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43" t="str">
        <f t="shared" si="2"/>
        <v/>
      </c>
      <c r="AJ70" s="43" t="str">
        <f>IF($C70="","",COUNTIF($D70:$AH70,[1]DATA!$F$6)+COUNTIF($D70:$AH70,[1]DATA!$F$15)/2)</f>
        <v/>
      </c>
      <c r="AK70" s="43" t="str">
        <f>IF($C70="","",COUNTIF($D70:$AH70,[1]DATA!$F$7)+COUNTIF($D70:$AH70,[1]DATA!$F$16)/2)</f>
        <v/>
      </c>
      <c r="AL70" s="44" t="str">
        <f>IF($C70="","",(COUNTIF($D70:$AH70,[1]DATA!$F$8)+COUNTIF($D70:$AH70,[1]DATA!$F$17)/2)+COUNTIF($D70:$AH70,[1]DATA!$F$26)*2+COUNTIF($D70:$AH70,[1]DATA!$F$27)*3-AM70)</f>
        <v/>
      </c>
      <c r="AM70" s="44" t="str">
        <f t="shared" si="3"/>
        <v/>
      </c>
      <c r="AN70" s="43" t="str">
        <f>IF($C70="","",COUNTIF($D70:$AH70,[1]DATA!$F$9)+COUNTIF($D70:$AH70,[1]DATA!$F$18)/2)</f>
        <v/>
      </c>
      <c r="AO70" s="43" t="str">
        <f>IF($C70="","",COUNTIF($D70:$AH70,[1]DATA!$F$10)+COUNTIF($D70:$AH70,[1]DATA!$F$19)/2)</f>
        <v/>
      </c>
      <c r="AP70" s="43" t="str">
        <f>IF($C70="","",COUNTIF($D70:$AH70,[1]DATA!$F$11)+COUNTIF($D70:$AH70,[1]DATA!$F$20)/2)</f>
        <v/>
      </c>
      <c r="AQ70" s="43" t="str">
        <f>IF($C70="","",COUNTIF($D70:$AH70,[1]DATA!$F$12)+COUNTIF($D70:$AH70,[1]DATA!$F$21)/2)</f>
        <v/>
      </c>
      <c r="AR70" s="43" t="str">
        <f>IF($C70="","",COUNTIF($D70:$AH70,[1]DATA!$F$13)+COUNTIF($D70:$AH70,[1]DATA!$F$22)/2)</f>
        <v/>
      </c>
      <c r="AS70" s="43" t="str">
        <f>IF($C70="","",COUNTIF($D70:$AH70,[1]DATA!$F$14)+COUNTIF($D70:$AH70,[1]DATA!$F$23)/2)</f>
        <v/>
      </c>
      <c r="AT70" s="43" t="str">
        <f>IF($C70="","",COUNTIF($D70:$AH70,[1]DATA!$F$24)+COUNTIF($D70:$AH70,[1]DATA!$F$25)/2)</f>
        <v/>
      </c>
      <c r="AU70" s="49" t="str">
        <f t="shared" si="4"/>
        <v/>
      </c>
      <c r="AV70" s="49" t="str">
        <f t="shared" si="5"/>
        <v/>
      </c>
      <c r="AW70" s="53"/>
      <c r="AX70" s="56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</row>
    <row r="71" s="3" customFormat="1" ht="14.25" customHeight="1" spans="1:66">
      <c r="A71" s="24" t="str">
        <f>IF([1]PHEPNAM!A72="","",[1]PHEPNAM!A72)</f>
        <v/>
      </c>
      <c r="B71" s="25" t="str">
        <f>IF(AND([1]PHEPNAM!E72="",[1]PHEPNAM!Y72="@"),"",IF(AND([1]PHEPNAM!C72="",[1]PHEPNAM!Y72=2),2,[1]PHEPNAM!C72))</f>
        <v/>
      </c>
      <c r="C71" s="25" t="str">
        <f>IF([1]PHEPNAM!E72="","",[1]PHEPNAM!E72)</f>
        <v/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43" t="str">
        <f t="shared" si="2"/>
        <v/>
      </c>
      <c r="AJ71" s="43" t="str">
        <f>IF($C71="","",COUNTIF($D71:$AH71,[1]DATA!$F$6)+COUNTIF($D71:$AH71,[1]DATA!$F$15)/2)</f>
        <v/>
      </c>
      <c r="AK71" s="43" t="str">
        <f>IF($C71="","",COUNTIF($D71:$AH71,[1]DATA!$F$7)+COUNTIF($D71:$AH71,[1]DATA!$F$16)/2)</f>
        <v/>
      </c>
      <c r="AL71" s="44" t="str">
        <f>IF($C71="","",(COUNTIF($D71:$AH71,[1]DATA!$F$8)+COUNTIF($D71:$AH71,[1]DATA!$F$17)/2)+COUNTIF($D71:$AH71,[1]DATA!$F$26)*2+COUNTIF($D71:$AH71,[1]DATA!$F$27)*3-AM71)</f>
        <v/>
      </c>
      <c r="AM71" s="44" t="str">
        <f t="shared" si="3"/>
        <v/>
      </c>
      <c r="AN71" s="43" t="str">
        <f>IF($C71="","",COUNTIF($D71:$AH71,[1]DATA!$F$9)+COUNTIF($D71:$AH71,[1]DATA!$F$18)/2)</f>
        <v/>
      </c>
      <c r="AO71" s="43" t="str">
        <f>IF($C71="","",COUNTIF($D71:$AH71,[1]DATA!$F$10)+COUNTIF($D71:$AH71,[1]DATA!$F$19)/2)</f>
        <v/>
      </c>
      <c r="AP71" s="43" t="str">
        <f>IF($C71="","",COUNTIF($D71:$AH71,[1]DATA!$F$11)+COUNTIF($D71:$AH71,[1]DATA!$F$20)/2)</f>
        <v/>
      </c>
      <c r="AQ71" s="43" t="str">
        <f>IF($C71="","",COUNTIF($D71:$AH71,[1]DATA!$F$12)+COUNTIF($D71:$AH71,[1]DATA!$F$21)/2)</f>
        <v/>
      </c>
      <c r="AR71" s="43" t="str">
        <f>IF($C71="","",COUNTIF($D71:$AH71,[1]DATA!$F$13)+COUNTIF($D71:$AH71,[1]DATA!$F$22)/2)</f>
        <v/>
      </c>
      <c r="AS71" s="43" t="str">
        <f>IF($C71="","",COUNTIF($D71:$AH71,[1]DATA!$F$14)+COUNTIF($D71:$AH71,[1]DATA!$F$23)/2)</f>
        <v/>
      </c>
      <c r="AT71" s="43" t="str">
        <f>IF($C71="","",COUNTIF($D71:$AH71,[1]DATA!$F$24)+COUNTIF($D71:$AH71,[1]DATA!$F$25)/2)</f>
        <v/>
      </c>
      <c r="AU71" s="49" t="str">
        <f t="shared" si="4"/>
        <v/>
      </c>
      <c r="AV71" s="49" t="str">
        <f t="shared" si="5"/>
        <v/>
      </c>
      <c r="AW71" s="53"/>
      <c r="AX71" s="56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</row>
    <row r="72" s="3" customFormat="1" ht="14.25" customHeight="1" spans="1:66">
      <c r="A72" s="24" t="str">
        <f>IF([1]PHEPNAM!A73="","",[1]PHEPNAM!A73)</f>
        <v/>
      </c>
      <c r="B72" s="25" t="str">
        <f>IF(AND([1]PHEPNAM!E73="",[1]PHEPNAM!Y73="@"),"",IF(AND([1]PHEPNAM!C73="",[1]PHEPNAM!Y73=2),2,[1]PHEPNAM!C73))</f>
        <v/>
      </c>
      <c r="C72" s="25" t="str">
        <f>IF([1]PHEPNAM!E73="","",[1]PHEPNAM!E73)</f>
        <v/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43" t="str">
        <f t="shared" si="2"/>
        <v/>
      </c>
      <c r="AJ72" s="43" t="str">
        <f>IF($C72="","",COUNTIF($D72:$AH72,[1]DATA!$F$6)+COUNTIF($D72:$AH72,[1]DATA!$F$15)/2)</f>
        <v/>
      </c>
      <c r="AK72" s="43" t="str">
        <f>IF($C72="","",COUNTIF($D72:$AH72,[1]DATA!$F$7)+COUNTIF($D72:$AH72,[1]DATA!$F$16)/2)</f>
        <v/>
      </c>
      <c r="AL72" s="44" t="str">
        <f>IF($C72="","",(COUNTIF($D72:$AH72,[1]DATA!$F$8)+COUNTIF($D72:$AH72,[1]DATA!$F$17)/2)+COUNTIF($D72:$AH72,[1]DATA!$F$26)*2+COUNTIF($D72:$AH72,[1]DATA!$F$27)*3-AM72)</f>
        <v/>
      </c>
      <c r="AM72" s="44" t="str">
        <f t="shared" si="3"/>
        <v/>
      </c>
      <c r="AN72" s="43" t="str">
        <f>IF($C72="","",COUNTIF($D72:$AH72,[1]DATA!$F$9)+COUNTIF($D72:$AH72,[1]DATA!$F$18)/2)</f>
        <v/>
      </c>
      <c r="AO72" s="43" t="str">
        <f>IF($C72="","",COUNTIF($D72:$AH72,[1]DATA!$F$10)+COUNTIF($D72:$AH72,[1]DATA!$F$19)/2)</f>
        <v/>
      </c>
      <c r="AP72" s="43" t="str">
        <f>IF($C72="","",COUNTIF($D72:$AH72,[1]DATA!$F$11)+COUNTIF($D72:$AH72,[1]DATA!$F$20)/2)</f>
        <v/>
      </c>
      <c r="AQ72" s="43" t="str">
        <f>IF($C72="","",COUNTIF($D72:$AH72,[1]DATA!$F$12)+COUNTIF($D72:$AH72,[1]DATA!$F$21)/2)</f>
        <v/>
      </c>
      <c r="AR72" s="43" t="str">
        <f>IF($C72="","",COUNTIF($D72:$AH72,[1]DATA!$F$13)+COUNTIF($D72:$AH72,[1]DATA!$F$22)/2)</f>
        <v/>
      </c>
      <c r="AS72" s="43" t="str">
        <f>IF($C72="","",COUNTIF($D72:$AH72,[1]DATA!$F$14)+COUNTIF($D72:$AH72,[1]DATA!$F$23)/2)</f>
        <v/>
      </c>
      <c r="AT72" s="43" t="str">
        <f>IF($C72="","",COUNTIF($D72:$AH72,[1]DATA!$F$24)+COUNTIF($D72:$AH72,[1]DATA!$F$25)/2)</f>
        <v/>
      </c>
      <c r="AU72" s="49" t="str">
        <f t="shared" si="4"/>
        <v/>
      </c>
      <c r="AV72" s="49" t="str">
        <f t="shared" si="5"/>
        <v/>
      </c>
      <c r="AW72" s="53"/>
      <c r="AX72" s="56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</row>
    <row r="73" s="3" customFormat="1" ht="14.25" customHeight="1" spans="1:66">
      <c r="A73" s="24" t="str">
        <f>IF([1]PHEPNAM!A74="","",[1]PHEPNAM!A74)</f>
        <v/>
      </c>
      <c r="B73" s="25" t="str">
        <f>IF(AND([1]PHEPNAM!E74="",[1]PHEPNAM!Y74="@"),"",IF(AND([1]PHEPNAM!C74="",[1]PHEPNAM!Y74=2),2,[1]PHEPNAM!C74))</f>
        <v/>
      </c>
      <c r="C73" s="25" t="str">
        <f>IF([1]PHEPNAM!E74="","",[1]PHEPNAM!E74)</f>
        <v/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43" t="str">
        <f t="shared" si="2"/>
        <v/>
      </c>
      <c r="AJ73" s="43" t="str">
        <f>IF($C73="","",COUNTIF($D73:$AH73,[1]DATA!$F$6)+COUNTIF($D73:$AH73,[1]DATA!$F$15)/2)</f>
        <v/>
      </c>
      <c r="AK73" s="43" t="str">
        <f>IF($C73="","",COUNTIF($D73:$AH73,[1]DATA!$F$7)+COUNTIF($D73:$AH73,[1]DATA!$F$16)/2)</f>
        <v/>
      </c>
      <c r="AL73" s="44" t="str">
        <f>IF($C73="","",(COUNTIF($D73:$AH73,[1]DATA!$F$8)+COUNTIF($D73:$AH73,[1]DATA!$F$17)/2)+COUNTIF($D73:$AH73,[1]DATA!$F$26)*2+COUNTIF($D73:$AH73,[1]DATA!$F$27)*3-AM73)</f>
        <v/>
      </c>
      <c r="AM73" s="44" t="str">
        <f t="shared" si="3"/>
        <v/>
      </c>
      <c r="AN73" s="43" t="str">
        <f>IF($C73="","",COUNTIF($D73:$AH73,[1]DATA!$F$9)+COUNTIF($D73:$AH73,[1]DATA!$F$18)/2)</f>
        <v/>
      </c>
      <c r="AO73" s="43" t="str">
        <f>IF($C73="","",COUNTIF($D73:$AH73,[1]DATA!$F$10)+COUNTIF($D73:$AH73,[1]DATA!$F$19)/2)</f>
        <v/>
      </c>
      <c r="AP73" s="43" t="str">
        <f>IF($C73="","",COUNTIF($D73:$AH73,[1]DATA!$F$11)+COUNTIF($D73:$AH73,[1]DATA!$F$20)/2)</f>
        <v/>
      </c>
      <c r="AQ73" s="43" t="str">
        <f>IF($C73="","",COUNTIF($D73:$AH73,[1]DATA!$F$12)+COUNTIF($D73:$AH73,[1]DATA!$F$21)/2)</f>
        <v/>
      </c>
      <c r="AR73" s="43" t="str">
        <f>IF($C73="","",COUNTIF($D73:$AH73,[1]DATA!$F$13)+COUNTIF($D73:$AH73,[1]DATA!$F$22)/2)</f>
        <v/>
      </c>
      <c r="AS73" s="43" t="str">
        <f>IF($C73="","",COUNTIF($D73:$AH73,[1]DATA!$F$14)+COUNTIF($D73:$AH73,[1]DATA!$F$23)/2)</f>
        <v/>
      </c>
      <c r="AT73" s="43" t="str">
        <f>IF($C73="","",COUNTIF($D73:$AH73,[1]DATA!$F$24)+COUNTIF($D73:$AH73,[1]DATA!$F$25)/2)</f>
        <v/>
      </c>
      <c r="AU73" s="49" t="str">
        <f t="shared" si="4"/>
        <v/>
      </c>
      <c r="AV73" s="49" t="str">
        <f t="shared" si="5"/>
        <v/>
      </c>
      <c r="AW73" s="53"/>
      <c r="AX73" s="56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</row>
    <row r="74" s="3" customFormat="1" ht="14.25" customHeight="1" spans="1:66">
      <c r="A74" s="24" t="str">
        <f>IF([1]PHEPNAM!A75="","",[1]PHEPNAM!A75)</f>
        <v/>
      </c>
      <c r="B74" s="25" t="str">
        <f>IF(AND([1]PHEPNAM!E75="",[1]PHEPNAM!Y75="@"),"",IF(AND([1]PHEPNAM!C75="",[1]PHEPNAM!Y75=2),2,[1]PHEPNAM!C75))</f>
        <v/>
      </c>
      <c r="C74" s="25" t="str">
        <f>IF([1]PHEPNAM!E75="","",[1]PHEPNAM!E75)</f>
        <v/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43" t="str">
        <f t="shared" ref="AI74:AI109" si="6">IF($C74="","",$AL$7-AJ74-AK74-AN74-AO74-AP74-AQ74-AR74-AS74-AL74+COUNTIF($D74:$AH74,"3D2")+COUNTIF($D74:$AH74,"3D3")*2-COUNTIFS($D$9:$AH$9,"CN",$D74:$AH74,"3D2")+COUNTIFS($D$9:$AH$9,"T7",$D74:$AH74,"3D/2"/2))</f>
        <v/>
      </c>
      <c r="AJ74" s="43" t="str">
        <f>IF($C74="","",COUNTIF($D74:$AH74,[1]DATA!$F$6)+COUNTIF($D74:$AH74,[1]DATA!$F$15)/2)</f>
        <v/>
      </c>
      <c r="AK74" s="43" t="str">
        <f>IF($C74="","",COUNTIF($D74:$AH74,[1]DATA!$F$7)+COUNTIF($D74:$AH74,[1]DATA!$F$16)/2)</f>
        <v/>
      </c>
      <c r="AL74" s="44" t="str">
        <f>IF($C74="","",(COUNTIF($D74:$AH74,[1]DATA!$F$8)+COUNTIF($D74:$AH74,[1]DATA!$F$17)/2)+COUNTIF($D74:$AH74,[1]DATA!$F$26)*2+COUNTIF($D74:$AH74,[1]DATA!$F$27)*3-AM74)</f>
        <v/>
      </c>
      <c r="AM74" s="44" t="str">
        <f t="shared" ref="AM74:AM109" si="7">IFERROR(IF($C74="","",COUNTIFS($D$9:$AH$9,"CN",$D74:$AH74,"3D")+COUNTIFS($D$9:$AH$9,"T7",$D74:$AH74,"3D")/2)+COUNTIFS($D$9:$AH$9,"CN",$D74:$AH74,"3D2")*2+COUNTIFS($D$9:$AH$9,"T7",$D74:$AH74,"3D2")+COUNTIFS($D$9:$AH$9,"CN",$D74:$AH74,"3D/2")/2,"")</f>
        <v/>
      </c>
      <c r="AN74" s="43" t="str">
        <f>IF($C74="","",COUNTIF($D74:$AH74,[1]DATA!$F$9)+COUNTIF($D74:$AH74,[1]DATA!$F$18)/2)</f>
        <v/>
      </c>
      <c r="AO74" s="43" t="str">
        <f>IF($C74="","",COUNTIF($D74:$AH74,[1]DATA!$F$10)+COUNTIF($D74:$AH74,[1]DATA!$F$19)/2)</f>
        <v/>
      </c>
      <c r="AP74" s="43" t="str">
        <f>IF($C74="","",COUNTIF($D74:$AH74,[1]DATA!$F$11)+COUNTIF($D74:$AH74,[1]DATA!$F$20)/2)</f>
        <v/>
      </c>
      <c r="AQ74" s="43" t="str">
        <f>IF($C74="","",COUNTIF($D74:$AH74,[1]DATA!$F$12)+COUNTIF($D74:$AH74,[1]DATA!$F$21)/2)</f>
        <v/>
      </c>
      <c r="AR74" s="43" t="str">
        <f>IF($C74="","",COUNTIF($D74:$AH74,[1]DATA!$F$13)+COUNTIF($D74:$AH74,[1]DATA!$F$22)/2)</f>
        <v/>
      </c>
      <c r="AS74" s="43" t="str">
        <f>IF($C74="","",COUNTIF($D74:$AH74,[1]DATA!$F$14)+COUNTIF($D74:$AH74,[1]DATA!$F$23)/2)</f>
        <v/>
      </c>
      <c r="AT74" s="43" t="str">
        <f>IF($C74="","",COUNTIF($D74:$AH74,[1]DATA!$F$24)+COUNTIF($D74:$AH74,[1]DATA!$F$25)/2)</f>
        <v/>
      </c>
      <c r="AU74" s="49" t="str">
        <f t="shared" ref="AU74:AU109" si="8">IF($C74="","",COUNTIF($D74:$AH74,"3DL"))</f>
        <v/>
      </c>
      <c r="AV74" s="49" t="str">
        <f t="shared" ref="AV74:AV109" si="9">IF($C74="","",COUNTIF($D74:$AH74,"OnL"))</f>
        <v/>
      </c>
      <c r="AW74" s="53"/>
      <c r="AX74" s="56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</row>
    <row r="75" s="3" customFormat="1" ht="14.25" customHeight="1" spans="1:66">
      <c r="A75" s="24" t="str">
        <f>IF([1]PHEPNAM!A76="","",[1]PHEPNAM!A76)</f>
        <v/>
      </c>
      <c r="B75" s="25" t="str">
        <f>IF(AND([1]PHEPNAM!E76="",[1]PHEPNAM!Y76="@"),"",IF(AND([1]PHEPNAM!C76="",[1]PHEPNAM!Y76=2),2,[1]PHEPNAM!C76))</f>
        <v/>
      </c>
      <c r="C75" s="25" t="str">
        <f>IF([1]PHEPNAM!E76="","",[1]PHEPNAM!E76)</f>
        <v/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43" t="str">
        <f t="shared" si="6"/>
        <v/>
      </c>
      <c r="AJ75" s="43" t="str">
        <f>IF($C75="","",COUNTIF($D75:$AH75,[1]DATA!$F$6)+COUNTIF($D75:$AH75,[1]DATA!$F$15)/2)</f>
        <v/>
      </c>
      <c r="AK75" s="43" t="str">
        <f>IF($C75="","",COUNTIF($D75:$AH75,[1]DATA!$F$7)+COUNTIF($D75:$AH75,[1]DATA!$F$16)/2)</f>
        <v/>
      </c>
      <c r="AL75" s="44" t="str">
        <f>IF($C75="","",(COUNTIF($D75:$AH75,[1]DATA!$F$8)+COUNTIF($D75:$AH75,[1]DATA!$F$17)/2)+COUNTIF($D75:$AH75,[1]DATA!$F$26)*2+COUNTIF($D75:$AH75,[1]DATA!$F$27)*3-AM75)</f>
        <v/>
      </c>
      <c r="AM75" s="44" t="str">
        <f t="shared" si="7"/>
        <v/>
      </c>
      <c r="AN75" s="43" t="str">
        <f>IF($C75="","",COUNTIF($D75:$AH75,[1]DATA!$F$9)+COUNTIF($D75:$AH75,[1]DATA!$F$18)/2)</f>
        <v/>
      </c>
      <c r="AO75" s="43" t="str">
        <f>IF($C75="","",COUNTIF($D75:$AH75,[1]DATA!$F$10)+COUNTIF($D75:$AH75,[1]DATA!$F$19)/2)</f>
        <v/>
      </c>
      <c r="AP75" s="43" t="str">
        <f>IF($C75="","",COUNTIF($D75:$AH75,[1]DATA!$F$11)+COUNTIF($D75:$AH75,[1]DATA!$F$20)/2)</f>
        <v/>
      </c>
      <c r="AQ75" s="43" t="str">
        <f>IF($C75="","",COUNTIF($D75:$AH75,[1]DATA!$F$12)+COUNTIF($D75:$AH75,[1]DATA!$F$21)/2)</f>
        <v/>
      </c>
      <c r="AR75" s="43" t="str">
        <f>IF($C75="","",COUNTIF($D75:$AH75,[1]DATA!$F$13)+COUNTIF($D75:$AH75,[1]DATA!$F$22)/2)</f>
        <v/>
      </c>
      <c r="AS75" s="43" t="str">
        <f>IF($C75="","",COUNTIF($D75:$AH75,[1]DATA!$F$14)+COUNTIF($D75:$AH75,[1]DATA!$F$23)/2)</f>
        <v/>
      </c>
      <c r="AT75" s="43" t="str">
        <f>IF($C75="","",COUNTIF($D75:$AH75,[1]DATA!$F$24)+COUNTIF($D75:$AH75,[1]DATA!$F$25)/2)</f>
        <v/>
      </c>
      <c r="AU75" s="49" t="str">
        <f t="shared" si="8"/>
        <v/>
      </c>
      <c r="AV75" s="49" t="str">
        <f t="shared" si="9"/>
        <v/>
      </c>
      <c r="AW75" s="53"/>
      <c r="AX75" s="56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</row>
    <row r="76" s="3" customFormat="1" ht="14.25" customHeight="1" spans="1:66">
      <c r="A76" s="24" t="str">
        <f>IF([1]PHEPNAM!A77="","",[1]PHEPNAM!A77)</f>
        <v/>
      </c>
      <c r="B76" s="25" t="str">
        <f>IF(AND([1]PHEPNAM!E77="",[1]PHEPNAM!Y77="@"),"",IF(AND([1]PHEPNAM!C77="",[1]PHEPNAM!Y77=2),2,[1]PHEPNAM!C77))</f>
        <v/>
      </c>
      <c r="C76" s="25" t="str">
        <f>IF([1]PHEPNAM!E77="","",[1]PHEPNAM!E77)</f>
        <v/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43" t="str">
        <f t="shared" si="6"/>
        <v/>
      </c>
      <c r="AJ76" s="43" t="str">
        <f>IF($C76="","",COUNTIF($D76:$AH76,[1]DATA!$F$6)+COUNTIF($D76:$AH76,[1]DATA!$F$15)/2)</f>
        <v/>
      </c>
      <c r="AK76" s="43" t="str">
        <f>IF($C76="","",COUNTIF($D76:$AH76,[1]DATA!$F$7)+COUNTIF($D76:$AH76,[1]DATA!$F$16)/2)</f>
        <v/>
      </c>
      <c r="AL76" s="44" t="str">
        <f>IF($C76="","",(COUNTIF($D76:$AH76,[1]DATA!$F$8)+COUNTIF($D76:$AH76,[1]DATA!$F$17)/2)+COUNTIF($D76:$AH76,[1]DATA!$F$26)*2+COUNTIF($D76:$AH76,[1]DATA!$F$27)*3-AM76)</f>
        <v/>
      </c>
      <c r="AM76" s="44" t="str">
        <f t="shared" si="7"/>
        <v/>
      </c>
      <c r="AN76" s="43" t="str">
        <f>IF($C76="","",COUNTIF($D76:$AH76,[1]DATA!$F$9)+COUNTIF($D76:$AH76,[1]DATA!$F$18)/2)</f>
        <v/>
      </c>
      <c r="AO76" s="43" t="str">
        <f>IF($C76="","",COUNTIF($D76:$AH76,[1]DATA!$F$10)+COUNTIF($D76:$AH76,[1]DATA!$F$19)/2)</f>
        <v/>
      </c>
      <c r="AP76" s="43" t="str">
        <f>IF($C76="","",COUNTIF($D76:$AH76,[1]DATA!$F$11)+COUNTIF($D76:$AH76,[1]DATA!$F$20)/2)</f>
        <v/>
      </c>
      <c r="AQ76" s="43" t="str">
        <f>IF($C76="","",COUNTIF($D76:$AH76,[1]DATA!$F$12)+COUNTIF($D76:$AH76,[1]DATA!$F$21)/2)</f>
        <v/>
      </c>
      <c r="AR76" s="43" t="str">
        <f>IF($C76="","",COUNTIF($D76:$AH76,[1]DATA!$F$13)+COUNTIF($D76:$AH76,[1]DATA!$F$22)/2)</f>
        <v/>
      </c>
      <c r="AS76" s="43" t="str">
        <f>IF($C76="","",COUNTIF($D76:$AH76,[1]DATA!$F$14)+COUNTIF($D76:$AH76,[1]DATA!$F$23)/2)</f>
        <v/>
      </c>
      <c r="AT76" s="43" t="str">
        <f>IF($C76="","",COUNTIF($D76:$AH76,[1]DATA!$F$24)+COUNTIF($D76:$AH76,[1]DATA!$F$25)/2)</f>
        <v/>
      </c>
      <c r="AU76" s="49" t="str">
        <f t="shared" si="8"/>
        <v/>
      </c>
      <c r="AV76" s="49" t="str">
        <f t="shared" si="9"/>
        <v/>
      </c>
      <c r="AW76" s="53"/>
      <c r="AX76" s="56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</row>
    <row r="77" s="3" customFormat="1" ht="14.25" customHeight="1" spans="1:66">
      <c r="A77" s="24" t="str">
        <f>IF([1]PHEPNAM!A78="","",[1]PHEPNAM!A78)</f>
        <v/>
      </c>
      <c r="B77" s="25" t="str">
        <f>IF(AND([1]PHEPNAM!E78="",[1]PHEPNAM!Y78="@"),"",IF(AND([1]PHEPNAM!C78="",[1]PHEPNAM!Y78=2),2,[1]PHEPNAM!C78))</f>
        <v/>
      </c>
      <c r="C77" s="25" t="str">
        <f>IF([1]PHEPNAM!E78="","",[1]PHEPNAM!E78)</f>
        <v/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43" t="str">
        <f t="shared" si="6"/>
        <v/>
      </c>
      <c r="AJ77" s="43" t="str">
        <f>IF($C77="","",COUNTIF($D77:$AH77,[1]DATA!$F$6)+COUNTIF($D77:$AH77,[1]DATA!$F$15)/2)</f>
        <v/>
      </c>
      <c r="AK77" s="43" t="str">
        <f>IF($C77="","",COUNTIF($D77:$AH77,[1]DATA!$F$7)+COUNTIF($D77:$AH77,[1]DATA!$F$16)/2)</f>
        <v/>
      </c>
      <c r="AL77" s="44" t="str">
        <f>IF($C77="","",(COUNTIF($D77:$AH77,[1]DATA!$F$8)+COUNTIF($D77:$AH77,[1]DATA!$F$17)/2)+COUNTIF($D77:$AH77,[1]DATA!$F$26)*2+COUNTIF($D77:$AH77,[1]DATA!$F$27)*3-AM77)</f>
        <v/>
      </c>
      <c r="AM77" s="44" t="str">
        <f t="shared" si="7"/>
        <v/>
      </c>
      <c r="AN77" s="43" t="str">
        <f>IF($C77="","",COUNTIF($D77:$AH77,[1]DATA!$F$9)+COUNTIF($D77:$AH77,[1]DATA!$F$18)/2)</f>
        <v/>
      </c>
      <c r="AO77" s="43" t="str">
        <f>IF($C77="","",COUNTIF($D77:$AH77,[1]DATA!$F$10)+COUNTIF($D77:$AH77,[1]DATA!$F$19)/2)</f>
        <v/>
      </c>
      <c r="AP77" s="43" t="str">
        <f>IF($C77="","",COUNTIF($D77:$AH77,[1]DATA!$F$11)+COUNTIF($D77:$AH77,[1]DATA!$F$20)/2)</f>
        <v/>
      </c>
      <c r="AQ77" s="43" t="str">
        <f>IF($C77="","",COUNTIF($D77:$AH77,[1]DATA!$F$12)+COUNTIF($D77:$AH77,[1]DATA!$F$21)/2)</f>
        <v/>
      </c>
      <c r="AR77" s="43" t="str">
        <f>IF($C77="","",COUNTIF($D77:$AH77,[1]DATA!$F$13)+COUNTIF($D77:$AH77,[1]DATA!$F$22)/2)</f>
        <v/>
      </c>
      <c r="AS77" s="43" t="str">
        <f>IF($C77="","",COUNTIF($D77:$AH77,[1]DATA!$F$14)+COUNTIF($D77:$AH77,[1]DATA!$F$23)/2)</f>
        <v/>
      </c>
      <c r="AT77" s="43" t="str">
        <f>IF($C77="","",COUNTIF($D77:$AH77,[1]DATA!$F$24)+COUNTIF($D77:$AH77,[1]DATA!$F$25)/2)</f>
        <v/>
      </c>
      <c r="AU77" s="49" t="str">
        <f t="shared" si="8"/>
        <v/>
      </c>
      <c r="AV77" s="49" t="str">
        <f t="shared" si="9"/>
        <v/>
      </c>
      <c r="AW77" s="53"/>
      <c r="AX77" s="56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</row>
    <row r="78" s="3" customFormat="1" ht="14.25" hidden="1" customHeight="1" spans="1:66">
      <c r="A78" s="24" t="str">
        <f>IF([1]PHEPNAM!A79="","",[1]PHEPNAM!A79)</f>
        <v/>
      </c>
      <c r="B78" s="25" t="str">
        <f>IF(AND([1]PHEPNAM!E79="",[1]PHEPNAM!Y79="@"),"",IF(AND([1]PHEPNAM!C79="",[1]PHEPNAM!Y79=2),2,[1]PHEPNAM!C79))</f>
        <v/>
      </c>
      <c r="C78" s="25" t="str">
        <f>IF([1]PHEPNAM!E79="","",[1]PHEPNAM!E79)</f>
        <v/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43"/>
      <c r="AJ78" s="43"/>
      <c r="AK78" s="43"/>
      <c r="AL78" s="44"/>
      <c r="AM78" s="44"/>
      <c r="AN78" s="43"/>
      <c r="AO78" s="43"/>
      <c r="AP78" s="43"/>
      <c r="AQ78" s="43"/>
      <c r="AR78" s="43"/>
      <c r="AS78" s="43"/>
      <c r="AT78" s="43"/>
      <c r="AU78" s="49"/>
      <c r="AV78" s="49"/>
      <c r="AW78" s="53"/>
      <c r="AX78" s="56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</row>
    <row r="79" s="3" customFormat="1" ht="14.25" hidden="1" customHeight="1" spans="1:66">
      <c r="A79" s="24" t="str">
        <f>IF([1]PHEPNAM!A80="","",[1]PHEPNAM!A80)</f>
        <v/>
      </c>
      <c r="B79" s="25" t="str">
        <f>IF(AND([1]PHEPNAM!E80="",[1]PHEPNAM!Y80="@"),"",IF(AND([1]PHEPNAM!C80="",[1]PHEPNAM!Y80=2),2,[1]PHEPNAM!C80))</f>
        <v/>
      </c>
      <c r="C79" s="25" t="str">
        <f>IF([1]PHEPNAM!E80="","",[1]PHEPNAM!E80)</f>
        <v/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43"/>
      <c r="AJ79" s="43"/>
      <c r="AK79" s="43"/>
      <c r="AL79" s="44"/>
      <c r="AM79" s="44"/>
      <c r="AN79" s="43"/>
      <c r="AO79" s="43"/>
      <c r="AP79" s="43"/>
      <c r="AQ79" s="43"/>
      <c r="AR79" s="43"/>
      <c r="AS79" s="43"/>
      <c r="AT79" s="43"/>
      <c r="AU79" s="49"/>
      <c r="AV79" s="49"/>
      <c r="AW79" s="53"/>
      <c r="AX79" s="56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</row>
    <row r="80" s="3" customFormat="1" ht="14.25" hidden="1" customHeight="1" spans="1:66">
      <c r="A80" s="24" t="str">
        <f>IF([1]PHEPNAM!A81="","",[1]PHEPNAM!A81)</f>
        <v/>
      </c>
      <c r="B80" s="25" t="str">
        <f>IF(AND([1]PHEPNAM!E81="",[1]PHEPNAM!Y81="@"),"",IF(AND([1]PHEPNAM!C81="",[1]PHEPNAM!Y81=2),2,[1]PHEPNAM!C81))</f>
        <v/>
      </c>
      <c r="C80" s="25" t="str">
        <f>IF([1]PHEPNAM!E81="","",[1]PHEPNAM!E81)</f>
        <v/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43"/>
      <c r="AJ80" s="43"/>
      <c r="AK80" s="43"/>
      <c r="AL80" s="44"/>
      <c r="AM80" s="44"/>
      <c r="AN80" s="43"/>
      <c r="AO80" s="43"/>
      <c r="AP80" s="43"/>
      <c r="AQ80" s="43"/>
      <c r="AR80" s="43"/>
      <c r="AS80" s="43"/>
      <c r="AT80" s="43"/>
      <c r="AU80" s="49"/>
      <c r="AV80" s="49"/>
      <c r="AW80" s="53"/>
      <c r="AX80" s="56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</row>
    <row r="81" s="3" customFormat="1" ht="14.25" hidden="1" customHeight="1" spans="1:66">
      <c r="A81" s="24" t="str">
        <f>IF([1]PHEPNAM!A82="","",[1]PHEPNAM!A82)</f>
        <v/>
      </c>
      <c r="B81" s="25" t="str">
        <f>IF(AND([1]PHEPNAM!E82="",[1]PHEPNAM!Y82="@"),"",IF(AND([1]PHEPNAM!C82="",[1]PHEPNAM!Y82=2),2,[1]PHEPNAM!C82))</f>
        <v/>
      </c>
      <c r="C81" s="25" t="str">
        <f>IF([1]PHEPNAM!E82="","",[1]PHEPNAM!E82)</f>
        <v/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43"/>
      <c r="AJ81" s="43"/>
      <c r="AK81" s="43"/>
      <c r="AL81" s="44"/>
      <c r="AM81" s="44"/>
      <c r="AN81" s="43"/>
      <c r="AO81" s="43"/>
      <c r="AP81" s="43"/>
      <c r="AQ81" s="43"/>
      <c r="AR81" s="43"/>
      <c r="AS81" s="43"/>
      <c r="AT81" s="43"/>
      <c r="AU81" s="49"/>
      <c r="AV81" s="49"/>
      <c r="AW81" s="53"/>
      <c r="AX81" s="56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</row>
    <row r="82" s="3" customFormat="1" ht="14.25" hidden="1" customHeight="1" spans="1:66">
      <c r="A82" s="24" t="str">
        <f>IF([1]PHEPNAM!A83="","",[1]PHEPNAM!A83)</f>
        <v/>
      </c>
      <c r="B82" s="25" t="str">
        <f>IF(AND([1]PHEPNAM!E83="",[1]PHEPNAM!Y83="@"),"",IF(AND([1]PHEPNAM!C83="",[1]PHEPNAM!Y83=2),2,[1]PHEPNAM!C83))</f>
        <v/>
      </c>
      <c r="C82" s="25" t="str">
        <f>IF([1]PHEPNAM!E83="","",[1]PHEPNAM!E83)</f>
        <v/>
      </c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43"/>
      <c r="AJ82" s="43"/>
      <c r="AK82" s="43"/>
      <c r="AL82" s="44"/>
      <c r="AM82" s="44"/>
      <c r="AN82" s="43"/>
      <c r="AO82" s="43"/>
      <c r="AP82" s="43"/>
      <c r="AQ82" s="43"/>
      <c r="AR82" s="43"/>
      <c r="AS82" s="43"/>
      <c r="AT82" s="43"/>
      <c r="AU82" s="49"/>
      <c r="AV82" s="49"/>
      <c r="AW82" s="53"/>
      <c r="AX82" s="56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</row>
    <row r="83" s="3" customFormat="1" ht="14.25" hidden="1" customHeight="1" spans="1:66">
      <c r="A83" s="24" t="str">
        <f>IF([1]PHEPNAM!A84="","",[1]PHEPNAM!A84)</f>
        <v/>
      </c>
      <c r="B83" s="25" t="str">
        <f>IF(AND([1]PHEPNAM!E84="",[1]PHEPNAM!Y84="@"),"",IF(AND([1]PHEPNAM!C84="",[1]PHEPNAM!Y84=2),2,[1]PHEPNAM!C84))</f>
        <v/>
      </c>
      <c r="C83" s="25" t="str">
        <f>IF([1]PHEPNAM!E84="","",[1]PHEPNAM!E84)</f>
        <v/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43"/>
      <c r="AJ83" s="43"/>
      <c r="AK83" s="43"/>
      <c r="AL83" s="44"/>
      <c r="AM83" s="44"/>
      <c r="AN83" s="43"/>
      <c r="AO83" s="43"/>
      <c r="AP83" s="43"/>
      <c r="AQ83" s="43"/>
      <c r="AR83" s="43"/>
      <c r="AS83" s="43"/>
      <c r="AT83" s="43"/>
      <c r="AU83" s="49"/>
      <c r="AV83" s="49"/>
      <c r="AW83" s="53"/>
      <c r="AX83" s="56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</row>
    <row r="84" s="3" customFormat="1" ht="14.25" hidden="1" customHeight="1" spans="1:66">
      <c r="A84" s="24" t="str">
        <f>IF([1]PHEPNAM!A85="","",[1]PHEPNAM!A85)</f>
        <v/>
      </c>
      <c r="B84" s="25" t="str">
        <f>IF(AND([1]PHEPNAM!E85="",[1]PHEPNAM!Y85="@"),"",IF(AND([1]PHEPNAM!C85="",[1]PHEPNAM!Y85=2),2,[1]PHEPNAM!C85))</f>
        <v/>
      </c>
      <c r="C84" s="25" t="str">
        <f>IF([1]PHEPNAM!E85="","",[1]PHEPNAM!E85)</f>
        <v/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43"/>
      <c r="AJ84" s="43"/>
      <c r="AK84" s="43"/>
      <c r="AL84" s="44"/>
      <c r="AM84" s="44"/>
      <c r="AN84" s="43"/>
      <c r="AO84" s="43"/>
      <c r="AP84" s="43"/>
      <c r="AQ84" s="43"/>
      <c r="AR84" s="43"/>
      <c r="AS84" s="43"/>
      <c r="AT84" s="43"/>
      <c r="AU84" s="49"/>
      <c r="AV84" s="49"/>
      <c r="AW84" s="53"/>
      <c r="AX84" s="56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</row>
    <row r="85" s="3" customFormat="1" ht="14.25" hidden="1" customHeight="1" spans="1:66">
      <c r="A85" s="24" t="str">
        <f>IF([1]PHEPNAM!A86="","",[1]PHEPNAM!A86)</f>
        <v/>
      </c>
      <c r="B85" s="25" t="str">
        <f>IF(AND([1]PHEPNAM!E86="",[1]PHEPNAM!Y86="@"),"",IF(AND([1]PHEPNAM!C86="",[1]PHEPNAM!Y86=2),2,[1]PHEPNAM!C86))</f>
        <v/>
      </c>
      <c r="C85" s="25" t="str">
        <f>IF([1]PHEPNAM!E86="","",[1]PHEPNAM!E86)</f>
        <v/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43"/>
      <c r="AJ85" s="43"/>
      <c r="AK85" s="43"/>
      <c r="AL85" s="44"/>
      <c r="AM85" s="44"/>
      <c r="AN85" s="43"/>
      <c r="AO85" s="43"/>
      <c r="AP85" s="43"/>
      <c r="AQ85" s="43"/>
      <c r="AR85" s="43"/>
      <c r="AS85" s="43"/>
      <c r="AT85" s="43"/>
      <c r="AU85" s="49"/>
      <c r="AV85" s="49"/>
      <c r="AW85" s="53"/>
      <c r="AX85" s="56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</row>
    <row r="86" s="3" customFormat="1" ht="14.25" hidden="1" customHeight="1" spans="1:66">
      <c r="A86" s="24" t="str">
        <f>IF([1]PHEPNAM!A87="","",[1]PHEPNAM!A87)</f>
        <v/>
      </c>
      <c r="B86" s="25" t="str">
        <f>IF(AND([1]PHEPNAM!E87="",[1]PHEPNAM!Y87="@"),"",IF(AND([1]PHEPNAM!C87="",[1]PHEPNAM!Y87=2),2,[1]PHEPNAM!C87))</f>
        <v/>
      </c>
      <c r="C86" s="25" t="str">
        <f>IF([1]PHEPNAM!E87="","",[1]PHEPNAM!E87)</f>
        <v/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43"/>
      <c r="AJ86" s="43"/>
      <c r="AK86" s="43"/>
      <c r="AL86" s="44"/>
      <c r="AM86" s="44"/>
      <c r="AN86" s="43"/>
      <c r="AO86" s="43"/>
      <c r="AP86" s="43"/>
      <c r="AQ86" s="43"/>
      <c r="AR86" s="43"/>
      <c r="AS86" s="43"/>
      <c r="AT86" s="43"/>
      <c r="AU86" s="49"/>
      <c r="AV86" s="49"/>
      <c r="AW86" s="53"/>
      <c r="AX86" s="56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</row>
    <row r="87" s="3" customFormat="1" ht="14.25" hidden="1" customHeight="1" spans="1:66">
      <c r="A87" s="24" t="str">
        <f>IF([1]PHEPNAM!A88="","",[1]PHEPNAM!A88)</f>
        <v/>
      </c>
      <c r="B87" s="25" t="str">
        <f>IF(AND([1]PHEPNAM!E88="",[1]PHEPNAM!Y88="@"),"",IF(AND([1]PHEPNAM!C88="",[1]PHEPNAM!Y88=2),2,[1]PHEPNAM!C88))</f>
        <v/>
      </c>
      <c r="C87" s="25" t="str">
        <f>IF([1]PHEPNAM!E88="","",[1]PHEPNAM!E88)</f>
        <v/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43"/>
      <c r="AJ87" s="43"/>
      <c r="AK87" s="43"/>
      <c r="AL87" s="44"/>
      <c r="AM87" s="44"/>
      <c r="AN87" s="43"/>
      <c r="AO87" s="43"/>
      <c r="AP87" s="43"/>
      <c r="AQ87" s="43"/>
      <c r="AR87" s="43"/>
      <c r="AS87" s="43"/>
      <c r="AT87" s="43"/>
      <c r="AU87" s="49"/>
      <c r="AV87" s="49"/>
      <c r="AW87" s="53"/>
      <c r="AX87" s="56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</row>
    <row r="88" s="3" customFormat="1" ht="14.25" hidden="1" customHeight="1" spans="1:66">
      <c r="A88" s="24" t="str">
        <f>IF([1]PHEPNAM!A89="","",[1]PHEPNAM!A89)</f>
        <v/>
      </c>
      <c r="B88" s="25" t="str">
        <f>IF(AND([1]PHEPNAM!E89="",[1]PHEPNAM!Y89="@"),"",IF(AND([1]PHEPNAM!C89="",[1]PHEPNAM!Y89=2),2,[1]PHEPNAM!C89))</f>
        <v/>
      </c>
      <c r="C88" s="25" t="str">
        <f>IF([1]PHEPNAM!E89="","",[1]PHEPNAM!E89)</f>
        <v/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43"/>
      <c r="AJ88" s="43"/>
      <c r="AK88" s="43"/>
      <c r="AL88" s="44"/>
      <c r="AM88" s="44"/>
      <c r="AN88" s="43"/>
      <c r="AO88" s="43"/>
      <c r="AP88" s="43"/>
      <c r="AQ88" s="43"/>
      <c r="AR88" s="43"/>
      <c r="AS88" s="43"/>
      <c r="AT88" s="43"/>
      <c r="AU88" s="49"/>
      <c r="AV88" s="49"/>
      <c r="AW88" s="53"/>
      <c r="AX88" s="56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</row>
    <row r="89" s="3" customFormat="1" ht="14.25" hidden="1" customHeight="1" spans="1:66">
      <c r="A89" s="24" t="str">
        <f>IF([1]PHEPNAM!A90="","",[1]PHEPNAM!A90)</f>
        <v/>
      </c>
      <c r="B89" s="25" t="str">
        <f>IF(AND([1]PHEPNAM!E90="",[1]PHEPNAM!Y90="@"),"",IF(AND([1]PHEPNAM!C90="",[1]PHEPNAM!Y90=2),2,[1]PHEPNAM!C90))</f>
        <v/>
      </c>
      <c r="C89" s="25" t="str">
        <f>IF([1]PHEPNAM!E90="","",[1]PHEPNAM!E90)</f>
        <v/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43"/>
      <c r="AJ89" s="43"/>
      <c r="AK89" s="43"/>
      <c r="AL89" s="44"/>
      <c r="AM89" s="44"/>
      <c r="AN89" s="43"/>
      <c r="AO89" s="43"/>
      <c r="AP89" s="43"/>
      <c r="AQ89" s="43"/>
      <c r="AR89" s="43"/>
      <c r="AS89" s="43"/>
      <c r="AT89" s="43"/>
      <c r="AU89" s="49"/>
      <c r="AV89" s="49"/>
      <c r="AW89" s="53"/>
      <c r="AX89" s="56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</row>
    <row r="90" s="3" customFormat="1" ht="14.25" hidden="1" customHeight="1" spans="1:66">
      <c r="A90" s="24" t="str">
        <f>IF([1]PHEPNAM!A91="","",[1]PHEPNAM!A91)</f>
        <v/>
      </c>
      <c r="B90" s="25" t="str">
        <f>IF(AND([1]PHEPNAM!E91="",[1]PHEPNAM!Y91="@"),"",IF(AND([1]PHEPNAM!C91="",[1]PHEPNAM!Y91=2),2,[1]PHEPNAM!C91))</f>
        <v/>
      </c>
      <c r="C90" s="25" t="str">
        <f>IF([1]PHEPNAM!E91="","",[1]PHEPNAM!E91)</f>
        <v/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43"/>
      <c r="AJ90" s="43"/>
      <c r="AK90" s="43"/>
      <c r="AL90" s="44"/>
      <c r="AM90" s="44"/>
      <c r="AN90" s="43"/>
      <c r="AO90" s="43"/>
      <c r="AP90" s="43"/>
      <c r="AQ90" s="43"/>
      <c r="AR90" s="43"/>
      <c r="AS90" s="43"/>
      <c r="AT90" s="43"/>
      <c r="AU90" s="49"/>
      <c r="AV90" s="49"/>
      <c r="AW90" s="53"/>
      <c r="AX90" s="56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</row>
    <row r="91" s="3" customFormat="1" ht="14.25" hidden="1" customHeight="1" spans="1:66">
      <c r="A91" s="24" t="str">
        <f>IF([1]PHEPNAM!A92="","",[1]PHEPNAM!A92)</f>
        <v/>
      </c>
      <c r="B91" s="25" t="str">
        <f>IF(AND([1]PHEPNAM!E92="",[1]PHEPNAM!Y92="@"),"",IF(AND([1]PHEPNAM!C92="",[1]PHEPNAM!Y92=2),2,[1]PHEPNAM!C92))</f>
        <v/>
      </c>
      <c r="C91" s="25" t="str">
        <f>IF([1]PHEPNAM!E92="","",[1]PHEPNAM!E92)</f>
        <v/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43"/>
      <c r="AJ91" s="43"/>
      <c r="AK91" s="43"/>
      <c r="AL91" s="44"/>
      <c r="AM91" s="44"/>
      <c r="AN91" s="43"/>
      <c r="AO91" s="43"/>
      <c r="AP91" s="43"/>
      <c r="AQ91" s="43"/>
      <c r="AR91" s="43"/>
      <c r="AS91" s="43"/>
      <c r="AT91" s="43"/>
      <c r="AU91" s="49"/>
      <c r="AV91" s="49"/>
      <c r="AW91" s="53"/>
      <c r="AX91" s="56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</row>
    <row r="92" s="3" customFormat="1" ht="14.25" hidden="1" customHeight="1" spans="1:66">
      <c r="A92" s="24" t="str">
        <f>IF([1]PHEPNAM!A93="","",[1]PHEPNAM!A93)</f>
        <v/>
      </c>
      <c r="B92" s="25" t="str">
        <f>IF(AND([1]PHEPNAM!E93="",[1]PHEPNAM!Y93="@"),"",IF(AND([1]PHEPNAM!C93="",[1]PHEPNAM!Y93=2),2,[1]PHEPNAM!C93))</f>
        <v/>
      </c>
      <c r="C92" s="25" t="str">
        <f>IF([1]PHEPNAM!E93="","",[1]PHEPNAM!E93)</f>
        <v/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43"/>
      <c r="AJ92" s="43"/>
      <c r="AK92" s="43"/>
      <c r="AL92" s="44"/>
      <c r="AM92" s="44"/>
      <c r="AN92" s="43"/>
      <c r="AO92" s="43"/>
      <c r="AP92" s="43"/>
      <c r="AQ92" s="43"/>
      <c r="AR92" s="43"/>
      <c r="AS92" s="43"/>
      <c r="AT92" s="43"/>
      <c r="AU92" s="49"/>
      <c r="AV92" s="49"/>
      <c r="AW92" s="53"/>
      <c r="AX92" s="56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</row>
    <row r="93" s="3" customFormat="1" ht="14.25" hidden="1" customHeight="1" spans="1:66">
      <c r="A93" s="24" t="str">
        <f>IF([1]PHEPNAM!A94="","",[1]PHEPNAM!A94)</f>
        <v/>
      </c>
      <c r="B93" s="25" t="str">
        <f>IF(AND([1]PHEPNAM!E94="",[1]PHEPNAM!Y94="@"),"",IF(AND([1]PHEPNAM!C94="",[1]PHEPNAM!Y94=2),2,[1]PHEPNAM!C94))</f>
        <v/>
      </c>
      <c r="C93" s="25" t="str">
        <f>IF([1]PHEPNAM!E94="","",[1]PHEPNAM!E94)</f>
        <v/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43"/>
      <c r="AJ93" s="43"/>
      <c r="AK93" s="43"/>
      <c r="AL93" s="44"/>
      <c r="AM93" s="44"/>
      <c r="AN93" s="43"/>
      <c r="AO93" s="43"/>
      <c r="AP93" s="43"/>
      <c r="AQ93" s="43"/>
      <c r="AR93" s="43"/>
      <c r="AS93" s="43"/>
      <c r="AT93" s="43"/>
      <c r="AU93" s="49"/>
      <c r="AV93" s="49"/>
      <c r="AW93" s="53"/>
      <c r="AX93" s="56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</row>
    <row r="94" s="3" customFormat="1" ht="14.25" hidden="1" customHeight="1" spans="1:66">
      <c r="A94" s="24" t="str">
        <f>IF([1]PHEPNAM!A95="","",[1]PHEPNAM!A95)</f>
        <v/>
      </c>
      <c r="B94" s="25" t="str">
        <f>IF(AND([1]PHEPNAM!E95="",[1]PHEPNAM!Y95="@"),"",IF(AND([1]PHEPNAM!C95="",[1]PHEPNAM!Y95=2),2,[1]PHEPNAM!C95))</f>
        <v/>
      </c>
      <c r="C94" s="25" t="str">
        <f>IF([1]PHEPNAM!E95="","",[1]PHEPNAM!E95)</f>
        <v/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43"/>
      <c r="AJ94" s="43"/>
      <c r="AK94" s="43"/>
      <c r="AL94" s="44"/>
      <c r="AM94" s="44"/>
      <c r="AN94" s="43"/>
      <c r="AO94" s="43"/>
      <c r="AP94" s="43"/>
      <c r="AQ94" s="43"/>
      <c r="AR94" s="43"/>
      <c r="AS94" s="43"/>
      <c r="AT94" s="43"/>
      <c r="AU94" s="49"/>
      <c r="AV94" s="49"/>
      <c r="AW94" s="53"/>
      <c r="AX94" s="56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</row>
    <row r="95" s="3" customFormat="1" ht="14.25" hidden="1" customHeight="1" spans="1:66">
      <c r="A95" s="24" t="str">
        <f>IF([1]PHEPNAM!A96="","",[1]PHEPNAM!A96)</f>
        <v/>
      </c>
      <c r="B95" s="25" t="str">
        <f>IF(AND([1]PHEPNAM!E96="",[1]PHEPNAM!Y96="@"),"",IF(AND([1]PHEPNAM!C96="",[1]PHEPNAM!Y96=2),2,[1]PHEPNAM!C96))</f>
        <v/>
      </c>
      <c r="C95" s="25" t="str">
        <f>IF([1]PHEPNAM!E96="","",[1]PHEPNAM!E96)</f>
        <v/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43"/>
      <c r="AJ95" s="43"/>
      <c r="AK95" s="43"/>
      <c r="AL95" s="44"/>
      <c r="AM95" s="44"/>
      <c r="AN95" s="43"/>
      <c r="AO95" s="43"/>
      <c r="AP95" s="43"/>
      <c r="AQ95" s="43"/>
      <c r="AR95" s="43"/>
      <c r="AS95" s="43"/>
      <c r="AT95" s="43"/>
      <c r="AU95" s="49"/>
      <c r="AV95" s="49"/>
      <c r="AW95" s="53"/>
      <c r="AX95" s="56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</row>
    <row r="96" s="3" customFormat="1" ht="14.25" hidden="1" customHeight="1" spans="1:66">
      <c r="A96" s="24" t="str">
        <f>IF([1]PHEPNAM!A97="","",[1]PHEPNAM!A97)</f>
        <v/>
      </c>
      <c r="B96" s="25" t="str">
        <f>IF(AND([1]PHEPNAM!E97="",[1]PHEPNAM!Y97="@"),"",IF(AND([1]PHEPNAM!C97="",[1]PHEPNAM!Y97=2),2,[1]PHEPNAM!C97))</f>
        <v/>
      </c>
      <c r="C96" s="25" t="str">
        <f>IF([1]PHEPNAM!E97="","",[1]PHEPNAM!E97)</f>
        <v/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43"/>
      <c r="AJ96" s="43"/>
      <c r="AK96" s="43"/>
      <c r="AL96" s="44"/>
      <c r="AM96" s="44"/>
      <c r="AN96" s="43"/>
      <c r="AO96" s="43"/>
      <c r="AP96" s="43"/>
      <c r="AQ96" s="43"/>
      <c r="AR96" s="43"/>
      <c r="AS96" s="43"/>
      <c r="AT96" s="43"/>
      <c r="AU96" s="49"/>
      <c r="AV96" s="49"/>
      <c r="AW96" s="53"/>
      <c r="AX96" s="56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</row>
    <row r="97" s="3" customFormat="1" ht="14.25" hidden="1" customHeight="1" spans="1:66">
      <c r="A97" s="24" t="str">
        <f>IF([1]PHEPNAM!A98="","",[1]PHEPNAM!A98)</f>
        <v/>
      </c>
      <c r="B97" s="25" t="str">
        <f>IF(AND([1]PHEPNAM!E98="",[1]PHEPNAM!Y98="@"),"",IF(AND([1]PHEPNAM!C98="",[1]PHEPNAM!Y98=2),2,[1]PHEPNAM!C98))</f>
        <v/>
      </c>
      <c r="C97" s="25" t="str">
        <f>IF([1]PHEPNAM!E98="","",[1]PHEPNAM!E98)</f>
        <v/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43"/>
      <c r="AJ97" s="43"/>
      <c r="AK97" s="43"/>
      <c r="AL97" s="44"/>
      <c r="AM97" s="44"/>
      <c r="AN97" s="43"/>
      <c r="AO97" s="43"/>
      <c r="AP97" s="43"/>
      <c r="AQ97" s="43"/>
      <c r="AR97" s="43"/>
      <c r="AS97" s="43"/>
      <c r="AT97" s="43"/>
      <c r="AU97" s="49"/>
      <c r="AV97" s="49"/>
      <c r="AW97" s="53"/>
      <c r="AX97" s="56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</row>
    <row r="98" s="3" customFormat="1" ht="14.25" hidden="1" customHeight="1" spans="1:66">
      <c r="A98" s="24" t="str">
        <f>IF([1]PHEPNAM!A99="","",[1]PHEPNAM!A99)</f>
        <v/>
      </c>
      <c r="B98" s="25" t="str">
        <f>IF(AND([1]PHEPNAM!E99="",[1]PHEPNAM!Y99="@"),"",IF(AND([1]PHEPNAM!C99="",[1]PHEPNAM!Y99=2),2,[1]PHEPNAM!C99))</f>
        <v/>
      </c>
      <c r="C98" s="25" t="str">
        <f>IF([1]PHEPNAM!E99="","",[1]PHEPNAM!E99)</f>
        <v/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43"/>
      <c r="AJ98" s="43"/>
      <c r="AK98" s="43"/>
      <c r="AL98" s="44"/>
      <c r="AM98" s="44"/>
      <c r="AN98" s="43"/>
      <c r="AO98" s="43"/>
      <c r="AP98" s="43"/>
      <c r="AQ98" s="43"/>
      <c r="AR98" s="43"/>
      <c r="AS98" s="43"/>
      <c r="AT98" s="43"/>
      <c r="AU98" s="49"/>
      <c r="AV98" s="49"/>
      <c r="AW98" s="53"/>
      <c r="AX98" s="56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</row>
    <row r="99" s="3" customFormat="1" ht="14.25" hidden="1" customHeight="1" spans="1:66">
      <c r="A99" s="24" t="str">
        <f>IF([1]PHEPNAM!A100="","",[1]PHEPNAM!A100)</f>
        <v/>
      </c>
      <c r="B99" s="25">
        <f>IF(AND([1]PHEPNAM!E100="",[1]PHEPNAM!Y100="@"),"",IF(AND([1]PHEPNAM!C100="",[1]PHEPNAM!Y100=2),2,[1]PHEPNAM!C100))</f>
        <v>0</v>
      </c>
      <c r="C99" s="25" t="str">
        <f>IF([1]PHEPNAM!E100="","",[1]PHEPNAM!E100)</f>
        <v/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43"/>
      <c r="AJ99" s="43"/>
      <c r="AK99" s="43"/>
      <c r="AL99" s="44"/>
      <c r="AM99" s="44"/>
      <c r="AN99" s="43"/>
      <c r="AO99" s="43"/>
      <c r="AP99" s="43"/>
      <c r="AQ99" s="43"/>
      <c r="AR99" s="43"/>
      <c r="AS99" s="43"/>
      <c r="AT99" s="43"/>
      <c r="AU99" s="49"/>
      <c r="AV99" s="49"/>
      <c r="AW99" s="53"/>
      <c r="AX99" s="56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</row>
    <row r="100" s="3" customFormat="1" ht="14.25" hidden="1" customHeight="1" spans="1:66">
      <c r="A100" s="24" t="str">
        <f>IF([1]PHEPNAM!A101="","",[1]PHEPNAM!A101)</f>
        <v/>
      </c>
      <c r="B100" s="25">
        <f>IF(AND([1]PHEPNAM!E101="",[1]PHEPNAM!Y101="@"),"",IF(AND([1]PHEPNAM!C101="",[1]PHEPNAM!Y101=2),2,[1]PHEPNAM!C101))</f>
        <v>0</v>
      </c>
      <c r="C100" s="25" t="str">
        <f>IF([1]PHEPNAM!E101="","",[1]PHEPNAM!E101)</f>
        <v/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43"/>
      <c r="AJ100" s="43"/>
      <c r="AK100" s="43"/>
      <c r="AL100" s="44"/>
      <c r="AM100" s="44"/>
      <c r="AN100" s="43"/>
      <c r="AO100" s="43"/>
      <c r="AP100" s="43"/>
      <c r="AQ100" s="43"/>
      <c r="AR100" s="43"/>
      <c r="AS100" s="43"/>
      <c r="AT100" s="43"/>
      <c r="AU100" s="49"/>
      <c r="AV100" s="49"/>
      <c r="AW100" s="53"/>
      <c r="AX100" s="56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</row>
    <row r="101" s="3" customFormat="1" ht="14.25" hidden="1" customHeight="1" spans="1:66">
      <c r="A101" s="24" t="str">
        <f>IF([1]PHEPNAM!A102="","",[1]PHEPNAM!A102)</f>
        <v/>
      </c>
      <c r="B101" s="25">
        <f>IF(AND([1]PHEPNAM!E102="",[1]PHEPNAM!Y102="@"),"",IF(AND([1]PHEPNAM!C102="",[1]PHEPNAM!Y102=2),2,[1]PHEPNAM!C102))</f>
        <v>0</v>
      </c>
      <c r="C101" s="25" t="str">
        <f>IF([1]PHEPNAM!E102="","",[1]PHEPNAM!E102)</f>
        <v/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43"/>
      <c r="AJ101" s="43"/>
      <c r="AK101" s="43"/>
      <c r="AL101" s="44"/>
      <c r="AM101" s="44"/>
      <c r="AN101" s="43"/>
      <c r="AO101" s="43"/>
      <c r="AP101" s="43"/>
      <c r="AQ101" s="43"/>
      <c r="AR101" s="43"/>
      <c r="AS101" s="43"/>
      <c r="AT101" s="43"/>
      <c r="AU101" s="49"/>
      <c r="AV101" s="49"/>
      <c r="AW101" s="53"/>
      <c r="AX101" s="56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</row>
    <row r="102" s="3" customFormat="1" ht="14.25" hidden="1" customHeight="1" spans="1:66">
      <c r="A102" s="24" t="str">
        <f>IF([1]PHEPNAM!A103="","",[1]PHEPNAM!A103)</f>
        <v/>
      </c>
      <c r="B102" s="25">
        <f>IF(AND([1]PHEPNAM!E103="",[1]PHEPNAM!Y103="@"),"",IF(AND([1]PHEPNAM!C103="",[1]PHEPNAM!Y103=2),2,[1]PHEPNAM!C103))</f>
        <v>0</v>
      </c>
      <c r="C102" s="25" t="str">
        <f>IF([1]PHEPNAM!E103="","",[1]PHEPNAM!E103)</f>
        <v/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43"/>
      <c r="AJ102" s="43"/>
      <c r="AK102" s="43"/>
      <c r="AL102" s="44"/>
      <c r="AM102" s="44"/>
      <c r="AN102" s="43"/>
      <c r="AO102" s="43"/>
      <c r="AP102" s="43"/>
      <c r="AQ102" s="43"/>
      <c r="AR102" s="43"/>
      <c r="AS102" s="43"/>
      <c r="AT102" s="43"/>
      <c r="AU102" s="49"/>
      <c r="AV102" s="49"/>
      <c r="AW102" s="53"/>
      <c r="AX102" s="56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</row>
    <row r="103" s="3" customFormat="1" ht="14.25" hidden="1" customHeight="1" spans="1:66">
      <c r="A103" s="24" t="str">
        <f>IF([1]PHEPNAM!A104="","",[1]PHEPNAM!A104)</f>
        <v/>
      </c>
      <c r="B103" s="25">
        <f>IF(AND([1]PHEPNAM!E104="",[1]PHEPNAM!Y104="@"),"",IF(AND([1]PHEPNAM!C104="",[1]PHEPNAM!Y104=2),2,[1]PHEPNAM!C104))</f>
        <v>0</v>
      </c>
      <c r="C103" s="25" t="str">
        <f>IF([1]PHEPNAM!E104="","",[1]PHEPNAM!E104)</f>
        <v/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43"/>
      <c r="AJ103" s="43"/>
      <c r="AK103" s="43"/>
      <c r="AL103" s="44"/>
      <c r="AM103" s="44"/>
      <c r="AN103" s="43"/>
      <c r="AO103" s="43"/>
      <c r="AP103" s="43"/>
      <c r="AQ103" s="43"/>
      <c r="AR103" s="43"/>
      <c r="AS103" s="43"/>
      <c r="AT103" s="43"/>
      <c r="AU103" s="49"/>
      <c r="AV103" s="49"/>
      <c r="AW103" s="53"/>
      <c r="AX103" s="56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</row>
    <row r="104" s="3" customFormat="1" ht="14.25" hidden="1" customHeight="1" spans="1:66">
      <c r="A104" s="24" t="str">
        <f>IF([1]PHEPNAM!A105="","",[1]PHEPNAM!A105)</f>
        <v/>
      </c>
      <c r="B104" s="25">
        <f>IF(AND([1]PHEPNAM!E105="",[1]PHEPNAM!Y105="@"),"",IF(AND([1]PHEPNAM!C105="",[1]PHEPNAM!Y105=2),2,[1]PHEPNAM!C105))</f>
        <v>0</v>
      </c>
      <c r="C104" s="25" t="str">
        <f>IF([1]PHEPNAM!E105="","",[1]PHEPNAM!E105)</f>
        <v/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43"/>
      <c r="AJ104" s="43"/>
      <c r="AK104" s="43"/>
      <c r="AL104" s="44"/>
      <c r="AM104" s="44"/>
      <c r="AN104" s="43"/>
      <c r="AO104" s="43"/>
      <c r="AP104" s="43"/>
      <c r="AQ104" s="43"/>
      <c r="AR104" s="43"/>
      <c r="AS104" s="43"/>
      <c r="AT104" s="43"/>
      <c r="AU104" s="49"/>
      <c r="AV104" s="49"/>
      <c r="AW104" s="53"/>
      <c r="AX104" s="56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</row>
    <row r="105" s="3" customFormat="1" ht="14.25" hidden="1" customHeight="1" spans="1:66">
      <c r="A105" s="24" t="str">
        <f>IF([1]PHEPNAM!A106="","",[1]PHEPNAM!A106)</f>
        <v/>
      </c>
      <c r="B105" s="25">
        <f>IF(AND([1]PHEPNAM!E106="",[1]PHEPNAM!Y106="@"),"",IF(AND([1]PHEPNAM!C106="",[1]PHEPNAM!Y106=2),2,[1]PHEPNAM!C106))</f>
        <v>0</v>
      </c>
      <c r="C105" s="25" t="str">
        <f>IF([1]PHEPNAM!E106="","",[1]PHEPNAM!E106)</f>
        <v/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43"/>
      <c r="AJ105" s="43"/>
      <c r="AK105" s="43"/>
      <c r="AL105" s="44"/>
      <c r="AM105" s="44"/>
      <c r="AN105" s="43"/>
      <c r="AO105" s="43"/>
      <c r="AP105" s="43"/>
      <c r="AQ105" s="43"/>
      <c r="AR105" s="43"/>
      <c r="AS105" s="43"/>
      <c r="AT105" s="43"/>
      <c r="AU105" s="49"/>
      <c r="AV105" s="49"/>
      <c r="AW105" s="53"/>
      <c r="AX105" s="56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</row>
    <row r="106" s="3" customFormat="1" ht="14.25" hidden="1" customHeight="1" spans="1:66">
      <c r="A106" s="24" t="str">
        <f>IF([1]PHEPNAM!A107="","",[1]PHEPNAM!A107)</f>
        <v/>
      </c>
      <c r="B106" s="25">
        <f>IF(AND([1]PHEPNAM!E107="",[1]PHEPNAM!Y107="@"),"",IF(AND([1]PHEPNAM!C107="",[1]PHEPNAM!Y107=2),2,[1]PHEPNAM!C107))</f>
        <v>0</v>
      </c>
      <c r="C106" s="25" t="str">
        <f>IF([1]PHEPNAM!E107="","",[1]PHEPNAM!E107)</f>
        <v/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43"/>
      <c r="AJ106" s="43"/>
      <c r="AK106" s="43"/>
      <c r="AL106" s="44"/>
      <c r="AM106" s="44"/>
      <c r="AN106" s="43"/>
      <c r="AO106" s="43"/>
      <c r="AP106" s="43"/>
      <c r="AQ106" s="43"/>
      <c r="AR106" s="43"/>
      <c r="AS106" s="43"/>
      <c r="AT106" s="43"/>
      <c r="AU106" s="49"/>
      <c r="AV106" s="49"/>
      <c r="AW106" s="53"/>
      <c r="AX106" s="56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</row>
    <row r="107" s="3" customFormat="1" ht="14.25" hidden="1" customHeight="1" spans="1:66">
      <c r="A107" s="24" t="str">
        <f>IF([1]PHEPNAM!A108="","",[1]PHEPNAM!A108)</f>
        <v/>
      </c>
      <c r="B107" s="25">
        <f>IF(AND([1]PHEPNAM!E108="",[1]PHEPNAM!Y108="@"),"",IF(AND([1]PHEPNAM!C108="",[1]PHEPNAM!Y108=2),2,[1]PHEPNAM!C108))</f>
        <v>0</v>
      </c>
      <c r="C107" s="25" t="str">
        <f>IF([1]PHEPNAM!E108="","",[1]PHEPNAM!E108)</f>
        <v/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43"/>
      <c r="AJ107" s="43"/>
      <c r="AK107" s="43"/>
      <c r="AL107" s="44"/>
      <c r="AM107" s="44"/>
      <c r="AN107" s="43"/>
      <c r="AO107" s="43"/>
      <c r="AP107" s="43"/>
      <c r="AQ107" s="43"/>
      <c r="AR107" s="43"/>
      <c r="AS107" s="43"/>
      <c r="AT107" s="43"/>
      <c r="AU107" s="49"/>
      <c r="AV107" s="49"/>
      <c r="AW107" s="53"/>
      <c r="AX107" s="56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</row>
    <row r="108" s="3" customFormat="1" ht="14.25" customHeight="1" spans="1:66">
      <c r="A108" s="24" t="str">
        <f>IF([1]PHEPNAM!A109="","",[1]PHEPNAM!A109)</f>
        <v/>
      </c>
      <c r="B108" s="25">
        <f>IF(AND([1]PHEPNAM!E109="",[1]PHEPNAM!Y109="@"),"",IF(AND([1]PHEPNAM!C109="",[1]PHEPNAM!Y109=2),2,[1]PHEPNAM!C109))</f>
        <v>0</v>
      </c>
      <c r="C108" s="25" t="str">
        <f>IF([1]PHEPNAM!E109="","",[1]PHEPNAM!E109)</f>
        <v/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43" t="str">
        <f t="shared" si="6"/>
        <v/>
      </c>
      <c r="AJ108" s="43" t="str">
        <f>IF($C108="","",COUNTIF($D108:$AH108,[1]DATA!$F$6)+COUNTIF($D108:$AH108,[1]DATA!$F$15)/2)</f>
        <v/>
      </c>
      <c r="AK108" s="43" t="str">
        <f>IF($C108="","",COUNTIF($D108:$AH108,[1]DATA!$F$7)+COUNTIF($D108:$AH108,[1]DATA!$F$16)/2)</f>
        <v/>
      </c>
      <c r="AL108" s="44" t="str">
        <f>IF($C108="","",(COUNTIF($D108:$AH108,[1]DATA!$F$8)+COUNTIF($D108:$AH108,[1]DATA!$F$17)/2)+COUNTIF($D108:$AH108,[1]DATA!$F$26)*2+COUNTIF($D108:$AH108,[1]DATA!$F$27)*3-AM108)</f>
        <v/>
      </c>
      <c r="AM108" s="44" t="str">
        <f t="shared" si="7"/>
        <v/>
      </c>
      <c r="AN108" s="43" t="str">
        <f>IF($C108="","",COUNTIF($D108:$AH108,[1]DATA!$F$9)+COUNTIF($D108:$AH108,[1]DATA!$F$18)/2)</f>
        <v/>
      </c>
      <c r="AO108" s="43" t="str">
        <f>IF($C108="","",COUNTIF($D108:$AH108,[1]DATA!$F$10)+COUNTIF($D108:$AH108,[1]DATA!$F$19)/2)</f>
        <v/>
      </c>
      <c r="AP108" s="43" t="str">
        <f>IF($C108="","",COUNTIF($D108:$AH108,[1]DATA!$F$11)+COUNTIF($D108:$AH108,[1]DATA!$F$20)/2)</f>
        <v/>
      </c>
      <c r="AQ108" s="43" t="str">
        <f>IF($C108="","",COUNTIF($D108:$AH108,[1]DATA!$F$12)+COUNTIF($D108:$AH108,[1]DATA!$F$21)/2)</f>
        <v/>
      </c>
      <c r="AR108" s="43" t="str">
        <f>IF($C108="","",COUNTIF($D108:$AH108,[1]DATA!$F$13)+COUNTIF($D108:$AH108,[1]DATA!$F$22)/2)</f>
        <v/>
      </c>
      <c r="AS108" s="43" t="str">
        <f>IF($C108="","",COUNTIF($D108:$AH108,[1]DATA!$F$14)+COUNTIF($D108:$AH108,[1]DATA!$F$23)/2)</f>
        <v/>
      </c>
      <c r="AT108" s="43" t="str">
        <f>IF($C108="","",COUNTIF($D108:$AH108,[1]DATA!$F$24)+COUNTIF($D108:$AH108,[1]DATA!$F$25)/2)</f>
        <v/>
      </c>
      <c r="AU108" s="49" t="str">
        <f t="shared" si="8"/>
        <v/>
      </c>
      <c r="AV108" s="49" t="str">
        <f t="shared" si="9"/>
        <v/>
      </c>
      <c r="AW108" s="53"/>
      <c r="AX108" s="56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</row>
    <row r="109" s="7" customFormat="1" spans="1:66">
      <c r="A109" s="65"/>
      <c r="D109" s="66"/>
      <c r="E109" s="66"/>
      <c r="F109" s="66"/>
      <c r="G109" s="66"/>
      <c r="H109" s="66"/>
      <c r="I109" s="66"/>
      <c r="J109" s="66"/>
      <c r="K109" s="66"/>
      <c r="L109" s="66"/>
      <c r="M109" s="71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7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</row>
    <row r="110" s="8" customFormat="1" spans="1:66">
      <c r="A110" s="67"/>
      <c r="C110" s="8" t="s">
        <v>25</v>
      </c>
      <c r="M110" s="8" t="s">
        <v>26</v>
      </c>
      <c r="AA110" s="8" t="s">
        <v>27</v>
      </c>
      <c r="AI110" s="73"/>
      <c r="AJ110" s="73"/>
      <c r="AK110" s="73"/>
      <c r="AL110" s="73"/>
      <c r="AM110" s="73"/>
      <c r="AN110" s="73"/>
      <c r="AO110" s="73"/>
      <c r="AP110" s="73"/>
      <c r="AQ110" s="73"/>
      <c r="AR110" s="73"/>
      <c r="AS110" s="73"/>
      <c r="AT110" s="73"/>
      <c r="AU110" s="73"/>
      <c r="AV110" s="73"/>
      <c r="AW110" s="78"/>
      <c r="AX110" s="73"/>
      <c r="AY110" s="73"/>
      <c r="AZ110" s="73"/>
      <c r="BA110" s="73"/>
      <c r="BB110" s="73"/>
      <c r="BC110" s="73"/>
      <c r="BD110" s="73"/>
      <c r="BE110" s="73"/>
      <c r="BF110" s="73"/>
      <c r="BG110" s="73"/>
      <c r="BH110" s="73"/>
      <c r="BI110" s="73"/>
      <c r="BJ110" s="73"/>
      <c r="BK110" s="73"/>
      <c r="BL110" s="73"/>
      <c r="BM110" s="73"/>
      <c r="BN110" s="73"/>
    </row>
    <row r="111" s="9" customFormat="1" spans="1:66">
      <c r="A111" s="68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9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</row>
    <row r="112" s="9" customFormat="1" spans="1:66">
      <c r="A112" s="68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9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</row>
    <row r="113" s="9" customFormat="1" spans="1:66">
      <c r="A113" s="68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9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</row>
    <row r="114" s="9" customFormat="1" spans="1:66">
      <c r="A114" s="68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9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</row>
    <row r="115" s="10" customFormat="1" spans="1:66">
      <c r="A115" s="69"/>
      <c r="AI115" s="75"/>
      <c r="AJ115" s="75"/>
      <c r="AK115" s="75"/>
      <c r="AL115" s="75"/>
      <c r="AM115" s="75"/>
      <c r="AN115" s="75"/>
      <c r="AO115" s="75"/>
      <c r="AP115" s="75"/>
      <c r="AQ115" s="75"/>
      <c r="AR115" s="75"/>
      <c r="AS115" s="75"/>
      <c r="AT115" s="75"/>
      <c r="AU115" s="75"/>
      <c r="AV115" s="75"/>
      <c r="AW115" s="80"/>
      <c r="AX115" s="75"/>
      <c r="AY115" s="75"/>
      <c r="AZ115" s="75"/>
      <c r="BA115" s="75"/>
      <c r="BB115" s="75"/>
      <c r="BC115" s="75"/>
      <c r="BD115" s="75"/>
      <c r="BE115" s="75"/>
      <c r="BF115" s="75"/>
      <c r="BG115" s="75"/>
      <c r="BH115" s="75"/>
      <c r="BI115" s="75"/>
      <c r="BJ115" s="75"/>
      <c r="BK115" s="75"/>
      <c r="BL115" s="75"/>
      <c r="BM115" s="75"/>
      <c r="BN115" s="75"/>
    </row>
    <row r="116" s="11" customFormat="1" spans="1:66">
      <c r="A116" s="70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9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</row>
    <row r="117" s="11" customFormat="1" hidden="1" spans="1:66">
      <c r="A117" s="70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9"/>
      <c r="AX117" s="76"/>
      <c r="AY117" s="76"/>
      <c r="AZ117" s="76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</row>
    <row r="118" ht="14.25" customHeight="1"/>
    <row r="119" ht="14.25" customHeight="1"/>
  </sheetData>
  <mergeCells count="5">
    <mergeCell ref="C1:J1"/>
    <mergeCell ref="C2:J2"/>
    <mergeCell ref="C3:J3"/>
    <mergeCell ref="A5:AH5"/>
    <mergeCell ref="Q6:R6"/>
  </mergeCells>
  <conditionalFormatting sqref="AW109:AW116">
    <cfRule type="cellIs" dxfId="0" priority="6" operator="greaterThan">
      <formula>1</formula>
    </cfRule>
  </conditionalFormatting>
  <conditionalFormatting sqref="D8:AH9">
    <cfRule type="expression" dxfId="1" priority="8">
      <formula>WEEKDAY(D$8)=1</formula>
    </cfRule>
    <cfRule type="expression" dxfId="2" priority="7">
      <formula>WEEKDAY(D$8)=1</formula>
    </cfRule>
  </conditionalFormatting>
  <conditionalFormatting sqref="D8:AH108">
    <cfRule type="expression" dxfId="3" priority="1">
      <formula>D$9="CN"</formula>
    </cfRule>
    <cfRule type="expression" dxfId="4" priority="2">
      <formula>D$9="CN"</formula>
    </cfRule>
    <cfRule type="expression" dxfId="5" priority="3">
      <formula>D$9="CN"</formula>
    </cfRule>
  </conditionalFormatting>
  <conditionalFormatting sqref="A10:AW108">
    <cfRule type="expression" dxfId="6" priority="4">
      <formula>$A10="@"</formula>
    </cfRule>
    <cfRule type="expression" dxfId="7" priority="5">
      <formula>$C10&lt;&gt;""</formula>
    </cfRule>
  </conditionalFormatting>
  <dataValidations count="5">
    <dataValidation type="whole" operator="between" allowBlank="1" showInputMessage="1" showErrorMessage="1" error="Đây là số của tháng" promptTitle="Nhập tháng" prompt="Từ 1 đến 12" sqref="N6">
      <formula1>1</formula1>
      <formula2>12</formula2>
    </dataValidation>
    <dataValidation allowBlank="1" showInputMessage="1" showErrorMessage="1" promptTitle="Lấy" prompt="Từ Data sheet" sqref="Q6:R6"/>
    <dataValidation allowBlank="1" showInputMessage="1" showErrorMessage="1" error="Nhập sai %" promptTitle="Nhập %" sqref="AW10:AW116"/>
    <dataValidation allowBlank="1" showInputMessage="1" showErrorMessage="1" promptTitle="Công thức" prompt="Không xoá" sqref="A10:C108 AI10:AV108"/>
    <dataValidation type="list" allowBlank="1" showInputMessage="1" showErrorMessage="1" sqref="D10:AH108">
      <formula1>[1]DATA!#REF!</formula1>
    </dataValidation>
  </dataValidations>
  <pageMargins left="0.236220472440945" right="0.236220472440945" top="0.551181102362205" bottom="0.354330708661417" header="0.31496062992126" footer="0.31496062992126"/>
  <pageSetup paperSize="9" scale="70" orientation="landscape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name="Button 1" r:id="rId3">
              <controlPr print="0" defaultSize="0">
                <anchor>
                  <from>
                    <xdr:col>17</xdr:col>
                    <xdr:colOff>232410</xdr:colOff>
                    <xdr:row>5</xdr:row>
                    <xdr:rowOff>198120</xdr:rowOff>
                  </from>
                  <to>
                    <xdr:col>21</xdr:col>
                    <xdr:colOff>97155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name="Button 2" r:id="rId4">
              <controlPr print="0" defaultSize="0">
                <anchor>
                  <from>
                    <xdr:col>21</xdr:col>
                    <xdr:colOff>156210</xdr:colOff>
                    <xdr:row>5</xdr:row>
                    <xdr:rowOff>179705</xdr:rowOff>
                  </from>
                  <to>
                    <xdr:col>24</xdr:col>
                    <xdr:colOff>180975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name="Button 3" r:id="rId5">
              <controlPr print="0" defaultSize="0">
                <anchor>
                  <from>
                    <xdr:col>24</xdr:col>
                    <xdr:colOff>223520</xdr:colOff>
                    <xdr:row>5</xdr:row>
                    <xdr:rowOff>179705</xdr:rowOff>
                  </from>
                  <to>
                    <xdr:col>27</xdr:col>
                    <xdr:colOff>248920</xdr:colOff>
                    <xdr:row>7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adiadmin</dc:creator>
  <cp:lastModifiedBy>WPS_1719682346</cp:lastModifiedBy>
  <dcterms:created xsi:type="dcterms:W3CDTF">2025-08-14T03:14:00Z</dcterms:created>
  <dcterms:modified xsi:type="dcterms:W3CDTF">2025-12-12T09:17:52Z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A58CA0FEA21943EA8415DE92DBD6EAEE_12</vt:lpwstr>
  </property>
  <property fmtid="{D5CDD505-2E9C-101B-9397-08002B2CF9AE}" pid="3" name="KSOProductBuildVer">
    <vt:lpwstr>1033-12.2.0.23155</vt:lpwstr>
  </property>
</Properties>
</file>